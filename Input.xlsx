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99cee1ff7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62ef7cd9b064902"/>
    <x:sheet xmlns:r="http://schemas.openxmlformats.org/officeDocument/2006/relationships" name="01_Run_Config" sheetId="2" r:id="Rb05b7eb4b1064546"/>
    <x:sheet xmlns:r="http://schemas.openxmlformats.org/officeDocument/2006/relationships" name="02_Network_Params" sheetId="3" r:id="R52d3feb375a44dce"/>
    <x:sheet xmlns:r="http://schemas.openxmlformats.org/officeDocument/2006/relationships" name="05_Air_Access" sheetId="4" r:id="R3de5a42dc6e94970"/>
    <x:sheet xmlns:r="http://schemas.openxmlformats.org/officeDocument/2006/relationships" name="06_MLPI_Weights" sheetId="5" r:id="R56705b633a804c2e"/>
    <x:sheet xmlns:r="http://schemas.openxmlformats.org/officeDocument/2006/relationships" name="07_SubDim_Weights" sheetId="6" r:id="R287b9e2435654efe"/>
    <x:sheet xmlns:r="http://schemas.openxmlformats.org/officeDocument/2006/relationships" name="08_Coupling_Factors" sheetId="7" r:id="Rd09763da74014096"/>
    <x:sheet xmlns:r="http://schemas.openxmlformats.org/officeDocument/2006/relationships" name="11_AADT" sheetId="8" r:id="R5b5fe0c6193f4787"/>
    <x:sheet xmlns:r="http://schemas.openxmlformats.org/officeDocument/2006/relationships" name="12_Border_Trade" sheetId="9" r:id="R4223961df4914b5a"/>
    <x:sheet xmlns:r="http://schemas.openxmlformats.org/officeDocument/2006/relationships" name="13_CAAN_Airports" sheetId="10" r:id="R497810adf1d64a40"/>
    <x:sheet xmlns:r="http://schemas.openxmlformats.org/officeDocument/2006/relationships" name="14_Helipads" sheetId="11" r:id="Rf25958744b204604"/>
    <x:sheet xmlns:r="http://schemas.openxmlformats.org/officeDocument/2006/relationships" name="15_Population_GDP" sheetId="12" r:id="Rd9ac9f1b304242ae"/>
    <x:sheet xmlns:r="http://schemas.openxmlformats.org/officeDocument/2006/relationships" name="16_Named_Places" sheetId="13" r:id="R6265c31869804790"/>
    <x:sheet xmlns:r="http://schemas.openxmlformats.org/officeDocument/2006/relationships" name="17_Failure_Unit" sheetId="14" r:id="R7fe917df62e040fc"/>
    <x:sheet xmlns:r="http://schemas.openxmlformats.org/officeDocument/2006/relationships" name="18_Formula_Index" sheetId="15" r:id="R0eb3a84c40a54d5b"/>
  </x:sheets>
</x:workbook>
</file>

<file path=xl/sharedStrings.xml><?xml version="1.0" encoding="utf-8"?>
<x:sst xmlns:x="http://schemas.openxmlformats.org/spreadsheetml/2006/main">
  <x:si>
    <x:t xml:space="preserve">MLPI Input Workbook - Auditable Source of Truth</x:t>
  </x:si>
  <x:si>
    <x:t xml:space="preserve">Current objective model: fail every NH/SH junction-to-junction link once, then recompute road consequences.</x:t>
  </x:si>
  <x:si>
    <x:t xml:space="preserve">Topic</x:t>
  </x:si>
  <x:si>
    <x:t xml:space="preserve">Implemented definition</x:t>
  </x:si>
  <x:si>
    <x:t xml:space="preserve">Road source</x:t>
  </x:si>
  <x:si>
    <x:t xml:space="preserve">NHSH_nepal.gpkg; ref begins NH or SH. All mapped features are retained for Map 1 and topology construction.</x:t>
  </x:si>
  <x:si>
    <x:t xml:space="preserve">Failure unit</x:t>
  </x:si>
  <x:si>
    <x:t xml:space="preserve">17_Failure_Unit: maximal physical link between graph junction/dead-end nodes. Every physical NH/SH edge belongs to exactly one link.</x:t>
  </x:si>
  <x:si>
    <x:t xml:space="preserve">No named candidates</x:t>
  </x:si>
  <x:si>
    <x:t xml:space="preserve">Named corridor candidates are not inputs and are not scored. This prevents overlapping failures such as Mugling-Naubise appearing inside multiple candidates.</x:t>
  </x:si>
  <x:si>
    <x:t xml:space="preserve">Assignment</x:t>
  </x:si>
  <x:si>
    <x:t xml:space="preserve">Free-flow shortest-path OD loading with BPR alpha=0. P uses FFTDI, the OD total-system-travel-time increase after one road-link failure.</x:t>
  </x:si>
  <x:si>
    <x:t xml:space="preserve">Physical</x:t>
  </x:si>
  <x:si>
    <x:t xml:space="preserve">P = 0.70 normalized road-only BFW-LCI + 0.30 normalized baseline UE flow.</x:t>
  </x:si>
  <x:si>
    <x:t xml:space="preserve">Social</x:t>
  </x:si>
  <x:si>
    <x:t xml:space="preserve">S1 is newly isolated conserved population; S2 is conserved-population-weighted road travel-time increase to hospital/clinic/health-post facilities.</x:t>
  </x:si>
  <x:si>
    <x:t xml:space="preserve">Economic</x:t>
  </x:si>
  <x:si>
    <x:t xml:space="preserve">Interconnectedness</x:t>
  </x:si>
  <x:si>
    <x:t xml:space="preserve">I1 is conserved-population-weighted road travel-time increase to the nearest operational airport; I2 is the population share losing all such road access.</x:t>
  </x:si>
  <x:si>
    <x:t xml:space="preserve">Population</x:t>
  </x:si>
  <x:si>
    <x:t xml:space="preserve">Formula source</x:t>
  </x:si>
  <x:si>
    <x:t xml:space="preserve">18_Formula_Index is the single implemented formula index copied into the methodology output.</x:t>
  </x:si>
  <x:si>
    <x:t xml:space="preserve">Road speed</x:t>
  </x:si>
  <x:si>
    <x:t xml:space="preserve">Terrain speed classes: Terai 60 km/h, Hills 40 km/h, Mountains 20 km/h.</x:t>
  </x:si>
  <x:si>
    <x:t xml:space="preserve">01 Run Config</x:t>
  </x:si>
  <x:si>
    <x:t xml:space="preserve">Paths, seed and execution controls used by mlpi_robust.py</x:t>
  </x:si>
  <x:si>
    <x:t xml:space="preserve">Execution controls</x:t>
  </x:si>
  <x:si>
    <x:t xml:space="preserve">Parameter</x:t>
  </x:si>
  <x:si>
    <x:t xml:space="preserve">Baseline Value</x:t>
  </x:si>
  <x:si>
    <x:t xml:space="preserve">Min (SA)</x:t>
  </x:si>
  <x:si>
    <x:t xml:space="preserve">Max (SA)</x:t>
  </x:si>
  <x:si>
    <x:t xml:space="preserve">Distribution</x:t>
  </x:si>
  <x:si>
    <x:t xml:space="preserve">Units</x:t>
  </x:si>
  <x:si>
    <x:t xml:space="preserve">Source / Reference</x:t>
  </x:si>
  <x:si>
    <x:t xml:space="preserve">Notes</x:t>
  </x:si>
  <x:si>
    <x:t xml:space="preserve">Code Symbol</x:t>
  </x:si>
  <x:si>
    <x:t xml:space="preserve">Data directory</x:t>
  </x:si>
  <x:si>
    <x:t xml:space="preserve">/Users/bishalbhurtel/Desktop/Project/1. Geopkg</x:t>
  </x:si>
  <x:si>
    <x:t xml:space="preserve">Deterministic</x:t>
  </x:si>
  <x:si>
    <x:t xml:space="preserve">path</x:t>
  </x:si>
  <x:si>
    <x:t xml:space="preserve">Local folder</x:t>
  </x:si>
  <x:si>
    <x:t xml:space="preserve">DATA_DIR</x:t>
  </x:si>
  <x:si>
    <x:t xml:space="preserve">Output directory</x:t>
  </x:si>
  <x:si>
    <x:t xml:space="preserve">/Users/bishalbhurtel/Desktop/Project/output</x:t>
  </x:si>
  <x:si>
    <x:t xml:space="preserve">Folder where maps, CSVs and methodology workbook are saved.</x:t>
  </x:si>
  <x:si>
    <x:t xml:space="preserve">OUT_DIR</x:t>
  </x:si>
  <x:si>
    <x:t xml:space="preserve">Random seed</x:t>
  </x:si>
  <x:si>
    <x:t xml:space="preserve">Discrete</x:t>
  </x:si>
  <x:si>
    <x:t xml:space="preserve">integer</x:t>
  </x:si>
  <x:si>
    <x:t xml:space="preserve">Reproducibility</x:t>
  </x:si>
  <x:si>
    <x:t xml:space="preserve">seed</x:t>
  </x:si>
  <x:si>
    <x:t xml:space="preserve">Weight scheme selector</x:t>
  </x:si>
  <x:si>
    <x:t xml:space="preserve">Tentative</x:t>
  </x:si>
  <x:si>
    <x:t xml:space="preserve">text</x:t>
  </x:si>
  <x:si>
    <x:t xml:space="preserve">Workbook</x:t>
  </x:si>
  <x:si>
    <x:t xml:space="preserve">Use Tentative unless AHP survey weights are intentionally selected.</x:t>
  </x:si>
  <x:si>
    <x:t xml:space="preserve">WEIGHTS selector</x:t>
  </x:si>
  <x:si>
    <x:t xml:space="preserve">Generate maps</x:t>
  </x:si>
  <x:si>
    <x:t xml:space="preserve">YES</x:t>
  </x:si>
  <x:si>
    <x:t xml:space="preserve">YES/NO</x:t>
  </x:si>
  <x:si>
    <x:t xml:space="preserve">Set NO only for fast headless calculation checks.</x:t>
  </x:si>
  <x:si>
    <x:t xml:space="preserve">gen_maps</x:t>
  </x:si>
  <x:si>
    <x:t xml:space="preserve">Generate analytical figures</x:t>
  </x:si>
  <x:si>
    <x:t xml:space="preserve">NO</x:t>
  </x:si>
  <x:si>
    <x:t xml:space="preserve">Optional methodology figures; maps are controlled separately.</x:t>
  </x:si>
  <x:si>
    <x:t xml:space="preserve">gen_figs</x:t>
  </x:si>
  <x:si>
    <x:t xml:space="preserve">Top-N links printed to console</x:t>
  </x:si>
  <x:si>
    <x:t xml:space="preserve">count</x:t>
  </x:si>
  <x:si>
    <x:t xml:space="preserve">Size of ranked console preview.</x:t>
  </x:si>
  <x:si>
    <x:t xml:space="preserve">TOP_N</x:t>
  </x:si>
  <x:si>
    <x:t xml:space="preserve">02 - Network and Assignment Parameters</x:t>
  </x:si>
  <x:si>
    <x:t xml:space="preserve">Explicit controls used by mlpi_robust.py for exhaustive junction-link scoring.</x:t>
  </x:si>
  <x:si>
    <x:t xml:space="preserve">Road graph, free-flow assignment, and topology controls</x:t>
  </x:si>
  <x:si>
    <x:t xml:space="preserve">Min. road length for MLPI scoring</x:t>
  </x:si>
  <x:si>
    <x:t xml:space="preserve">km</x:t>
  </x:si>
  <x:si>
    <x:t xml:space="preserve">Topology requirement</x:t>
  </x:si>
  <x:si>
    <x:t xml:space="preserve">Retain every supplied NH/SH feature.</x:t>
  </x:si>
  <x:si>
    <x:t xml:space="preserve">ROAD_MIN_KM_SCORE</x:t>
  </x:si>
  <x:si>
    <x:t xml:space="preserve">Min. road length for background plot</x:t>
  </x:si>
  <x:si>
    <x:t xml:space="preserve">QGIS visual comparison</x:t>
  </x:si>
  <x:si>
    <x:t xml:space="preserve">Draw every supplied NH/SH feature; no visual fragmentation threshold.</x:t>
  </x:si>
  <x:si>
    <x:t xml:space="preserve">ROAD_MIN_KM_PLOT</x:t>
  </x:si>
  <x:si>
    <x:t xml:space="preserve">km/h</x:t>
  </x:si>
  <x:si>
    <x:t xml:space="preserve">Current project assumption</x:t>
  </x:si>
  <x:si>
    <x:t xml:space="preserve">SPEED_ROAD</x:t>
  </x:si>
  <x:si>
    <x:t xml:space="preserve">BFW relative-gap stop</x:t>
  </x:si>
  <x:si>
    <x:t xml:space="preserve">ratio</x:t>
  </x:si>
  <x:si>
    <x:t xml:space="preserve">Convergence target for baseline and every flow-carrying failed link.</x:t>
  </x:si>
  <x:si>
    <x:t xml:space="preserve">ASSIGNMENT_RGAP</x:t>
  </x:si>
  <x:si>
    <x:t xml:space="preserve">BFW max iterations</x:t>
  </x:si>
  <x:si>
    <x:t xml:space="preserve">iterations</x:t>
  </x:si>
  <x:si>
    <x:t xml:space="preserve">Maximum iterations; achieved rgap is exported for audit.</x:t>
  </x:si>
  <x:si>
    <x:t xml:space="preserve">FW_MAX_ITER</x:t>
  </x:si>
  <x:si>
    <x:t xml:space="preserve">BPR congestion alpha</x:t>
  </x:si>
  <x:si>
    <x:t xml:space="preserve">dimensionless</x:t>
  </x:si>
  <x:si>
    <x:t xml:space="preserve">Shortest-path free-flow assumption</x:t>
  </x:si>
  <x:si>
    <x:t xml:space="preserve">Set to zero for the current free-flow study; raise above zero only for a calibrated congestion scenario.</x:t>
  </x:si>
  <x:si>
    <x:t xml:space="preserve">BPR_ALPHA</x:t>
  </x:si>
  <x:si>
    <x:t xml:space="preserve">BPR congestion beta power</x:t>
  </x:si>
  <x:si>
    <x:t xml:space="preserve">BPR convention</x:t>
  </x:si>
  <x:si>
    <x:t xml:space="preserve">BPR_BETA</x:t>
  </x:si>
  <x:si>
    <x:t xml:space="preserve">Socioeconomic allocation nodes per district</x:t>
  </x:si>
  <x:si>
    <x:t xml:space="preserve">nodes</x:t>
  </x:si>
  <x:si>
    <x:t xml:space="preserve">Each district population/GDP total is spread over up to this many representative NH/SH nodes inside its district polygon; settlement centroids weight the split.</x:t>
  </x:si>
  <x:si>
    <x:t xml:space="preserve">SOCIOECONOMIC_NODES_PER_DISTRICT</x:t>
  </x:si>
  <x:si>
    <x:t xml:space="preserve">Disconnected OD penalty h</x:t>
  </x:si>
  <x:si>
    <x:t xml:space="preserve">hours</x:t>
  </x:si>
  <x:si>
    <x:t xml:space="preserve">Documented finite penalty for newly unreachable demand/access pairs.</x:t>
  </x:si>
  <x:si>
    <x:t xml:space="preserve">DISCONNECTED_PENALTY_H</x:t>
  </x:si>
  <x:si>
    <x:t xml:space="preserve">Topology connector maximum gap km</x:t>
  </x:si>
  <x:si>
    <x:t xml:space="preserve">Source topology repair</x:t>
  </x:si>
  <x:si>
    <x:t xml:space="preserve">Analysis-only repair of small digitizing gaps; never drawn or ranked as physical road.</x:t>
  </x:si>
  <x:si>
    <x:t xml:space="preserve">TOPOLOGY_CONNECTOR_MAX_KM</x:t>
  </x:si>
  <x:si>
    <x:t xml:space="preserve">05 - Air Assumptions</x:t>
  </x:si>
  <x:si>
    <x:t xml:space="preserve">Explicit scenario values retained in the workbook. Current I1/I2 score road access to operational airports and does not route disrupted trips through air links.</x:t>
  </x:si>
  <x:si>
    <x:t xml:space="preserve">Air-mode values</x:t>
  </x:si>
  <x:si>
    <x:t xml:space="preserve">Airport ground-access radius</x:t>
  </x:si>
  <x:si>
    <x:t xml:space="preserve">Retained scenario descriptor; not a cutoff in population-weighted I1/I2.</x:t>
  </x:si>
  <x:si>
    <x:t xml:space="preserve">AIRPORT_ACCESS_KM</x:t>
  </x:si>
  <x:si>
    <x:t xml:space="preserve">Air speed km/h</x:t>
  </x:si>
  <x:si>
    <x:t xml:space="preserve">Retained for future air-continuity scenarios; not active in current road-access score.</x:t>
  </x:si>
  <x:si>
    <x:t xml:space="preserve">SPEED_AIR</x:t>
  </x:si>
  <x:si>
    <x:t xml:space="preserve">Air cost multiplier</x:t>
  </x:si>
  <x:si>
    <x:t xml:space="preserve">multiplier</x:t>
  </x:si>
  <x:si>
    <x:t xml:space="preserve">AIR_COST_MULT</x:t>
  </x:si>
  <x:si>
    <x:t xml:space="preserve">Air fixed penalty h</x:t>
  </x:si>
  <x:si>
    <x:t xml:space="preserve">AIR_FIXED_PENALTY_H</x:t>
  </x:si>
  <x:si>
    <x:t xml:space="preserve">06 - MLPI Top-Level Dimension Weights</x:t>
  </x:si>
  <x:si>
    <x:t xml:space="preserve">Tentative and AHP schemes; selector in 01_Run_Config chooses active set.</x:t>
  </x:si>
  <x:si>
    <x:t xml:space="preserve">Scheme A — Tentative (pending AHP survey)</x:t>
  </x:si>
  <x:si>
    <x:t xml:space="preserve">Tentative — Physical</x:t>
  </x:si>
  <x:si>
    <x:t xml:space="preserve">Uniform</x:t>
  </x:si>
  <x:si>
    <x:t xml:space="preserve">fraction</x:t>
  </x:si>
  <x:si>
    <x:t xml:space="preserve">Pre-AHP working set</x:t>
  </x:si>
  <x:si>
    <x:t xml:space="preserve">The four tentative weights must sum to 1.000.</x:t>
  </x:si>
  <x:si>
    <x:t xml:space="preserve">WEIGHTS['physical']</x:t>
  </x:si>
  <x:si>
    <x:t xml:space="preserve">Tentative — Social</x:t>
  </x:si>
  <x:si>
    <x:t xml:space="preserve">WEIGHTS['social']</x:t>
  </x:si>
  <x:si>
    <x:t xml:space="preserve">Tentative — Economic</x:t>
  </x:si>
  <x:si>
    <x:t xml:space="preserve">WEIGHTS['economic']</x:t>
  </x:si>
  <x:si>
    <x:t xml:space="preserve">Tentative — Interconnected</x:t>
  </x:si>
  <x:si>
    <x:t xml:space="preserve">WEIGHTS['interconnected']</x:t>
  </x:si>
  <x:si>
    <x:t xml:space="preserve">Scheme B — AHP-derived (Saaty 1980)</x:t>
  </x:si>
  <x:si>
    <x:t xml:space="preserve">AHP — Physical</x:t>
  </x:si>
  <x:si>
    <x:t xml:space="preserve">Saaty 1980 pairwise comparison (P &gt; E &gt; S &gt; I, CR = 0.019 &lt; 0.10)</x:t>
  </x:si>
  <x:si>
    <x:t xml:space="preserve">Change only if the expert panel re-runs AHP. Four weights must sum to 1.000.</x:t>
  </x:si>
  <x:si>
    <x:t xml:space="preserve">AHP_WEIGHTS['physical']</x:t>
  </x:si>
  <x:si>
    <x:t xml:space="preserve">AHP — Social</x:t>
  </x:si>
  <x:si>
    <x:t xml:space="preserve">Saaty 1980</x:t>
  </x:si>
  <x:si>
    <x:t xml:space="preserve">AHP_WEIGHTS['social']</x:t>
  </x:si>
  <x:si>
    <x:t xml:space="preserve">AHP — Economic</x:t>
  </x:si>
  <x:si>
    <x:t xml:space="preserve">AHP_WEIGHTS['economic']</x:t>
  </x:si>
  <x:si>
    <x:t xml:space="preserve">AHP — Interconnected</x:t>
  </x:si>
  <x:si>
    <x:t xml:space="preserve">AHP_WEIGHTS['interconnected']</x:t>
  </x:si>
  <x:si>
    <x:t xml:space="preserve">Sum check — Tentative (must = 1.000)</x:t>
  </x:si>
  <x:si>
    <x:t xml:space="preserve">Sum check — AHP (must = 1.000)</x:t>
  </x:si>
  <x:si>
    <x:t xml:space="preserve">07 - Active Subdimension Weights</x:t>
  </x:si>
  <x:si>
    <x:t xml:space="preserve">Only P1/P2, S1/S2, E1/E2 and I1/I2 are active.</x:t>
  </x:si>
  <x:si>
    <x:t xml:space="preserve">Component weights</x:t>
  </x:si>
  <x:si>
    <x:t xml:space="preserve">Physical P1 - FFTDI</x:t>
  </x:si>
  <x:si>
    <x:t xml:space="preserve">Current method</x:t>
  </x:si>
  <x:si>
    <x:t xml:space="preserve">Free-Flow Travel Disruption Index: OD total-system-travel-time increase after one road link is removed.</x:t>
  </x:si>
  <x:si>
    <x:t xml:space="preserve">w_p_fftdi</x:t>
  </x:si>
  <x:si>
    <x:t xml:space="preserve">Physical P2 - detour-weighted OD exposure</x:t>
  </x:si>
  <x:si>
    <x:t xml:space="preserve">Baseline OD exposure on the failed link, credited only when failure creates a meaningful detour.</x:t>
  </x:si>
  <x:si>
    <x:t xml:space="preserve">w_p_flow</x:t>
  </x:si>
  <x:si>
    <x:t xml:space="preserve">Social S1 - Newly isolated population</x:t>
  </x:si>
  <x:si>
    <x:t xml:space="preserve">Conserved population separated from the largest surviving part of its baseline component.</x:t>
  </x:si>
  <x:si>
    <x:t xml:space="preserve">w_s1</x:t>
  </x:si>
  <x:si>
    <x:t xml:space="preserve">Social S2 - Healthcare travel-cost increase</x:t>
  </x:si>
  <x:si>
    <x:t xml:space="preserve">Conserved-population-weighted road travel-time increase to nearest eligible healthcare.</x:t>
  </x:si>
  <x:si>
    <x:t xml:space="preserve">w_s2</x:t>
  </x:si>
  <x:si>
    <x:t xml:space="preserve">Economic E1 - OD vehicle-hour/freight loss</x:t>
  </x:si>
  <x:si>
    <x:t xml:space="preserve">OD vehicle-hour loss weighted by the failed link AADT and border-gateway accessibility.</x:t>
  </x:si>
  <x:si>
    <x:t xml:space="preserve">w_e1</x:t>
  </x:si>
  <x:si>
    <x:t xml:space="preserve">Economic E2 - Border-trade access loss</x:t>
  </x:si>
  <x:si>
    <x:t xml:space="preserve">Conserved-GDP-weighted Hansen access loss to border gateways.</x:t>
  </x:si>
  <x:si>
    <x:t xml:space="preserve">w_e2</x:t>
  </x:si>
  <x:si>
    <x:t xml:space="preserve">Interconnected I1 - Airport generalized-cost increase</x:t>
  </x:si>
  <x:si>
    <x:t xml:space="preserve">Conserved-population-weighted road travel-time increase to nearest operational airport.</x:t>
  </x:si>
  <x:si>
    <x:t xml:space="preserve">w_i1</x:t>
  </x:si>
  <x:si>
    <x:t xml:space="preserve">Interconnected I2 - Complete loss of road airport access</x:t>
  </x:si>
  <x:si>
    <x:t xml:space="preserve">Share of baseline-accessible population losing every road path to an operational airport.</x:t>
  </x:si>
  <x:si>
    <x:t xml:space="preserve">w_i2</x:t>
  </x:si>
  <x:si>
    <x:t xml:space="preserve">08 Coupling Factors</x:t>
  </x:si>
  <x:si>
    <x:t xml:space="preserve">Only active coupling/decay factors</x:t>
  </x:si>
  <x:si>
    <x:t xml:space="preserve">Coupling and decay factors</x:t>
  </x:si>
  <x:si>
    <x:t xml:space="preserve">Hansen gravity decay beta</x:t>
  </x:si>
  <x:si>
    <x:t xml:space="preserve">Current assumption</x:t>
  </x:si>
  <x:si>
    <x:t xml:space="preserve">Decay used in gateway-access calculations.</x:t>
  </x:si>
  <x:si>
    <x:t xml:space="preserve">beta</x:t>
  </x:si>
  <x:si>
    <x:t xml:space="preserve">Settlement-count proximity window</x:t>
  </x:si>
  <x:si>
    <x:t xml:space="preserve">degrees</x:t>
  </x:si>
  <x:si>
    <x:t xml:space="preserve">Converted to km in code for settlement proximity around nodes.</x:t>
  </x:si>
  <x:si>
    <x:t xml:space="preserve">SETT_WINDOW</x:t>
  </x:si>
  <x:si>
    <x:t xml:space="preserve">OD deterrence time h</x:t>
  </x:si>
  <x:si>
    <x:t xml:space="preserve">OD_DETERRENCE_H</x:t>
  </x:si>
  <x:si>
    <x:t xml:space="preserve">OD_DEMAND_SCALE</x:t>
  </x:si>
  <x:si>
    <x:t xml:space="preserve">Detour full-credit ratio</x:t>
  </x:si>
  <x:si>
    <x:t xml:space="preserve">P2 receives full detour credit when removed/base affected OD time increases by 1 + this value.</x:t>
  </x:si>
  <x:si>
    <x:t xml:space="preserve">DETOUR_FULL_CREDIT_RATIO</x:t>
  </x:si>
  <x:si>
    <x:t xml:space="preserve">E2 regional balance</x:t>
  </x:si>
  <x:si>
    <x:t xml:space="preserve">boolean</x:t>
  </x:si>
  <x:si>
    <x:t xml:space="preserve">TRUE balances GDP weights across West/Central/East; FALSE uses raw national GDP weights.</x:t>
  </x:si>
  <x:si>
    <x:t xml:space="preserve">E2_REGIONAL_BALANCE</x:t>
  </x:si>
  <x:si>
    <x:t xml:space="preserve">11 AADT</x:t>
  </x:si>
  <x:si>
    <x:t xml:space="preserve">National Highway corridors only (DoR SNH 2020-21). Sources: DoR HMIS 2021; WB NIRTTP 2021; ADB SASEC 2022.</x:t>
  </x:si>
  <x:si>
    <x:t xml:space="preserve">Station No</x:t>
  </x:si>
  <x:si>
    <x:t xml:space="preserve">Road Link</x:t>
  </x:si>
  <x:si>
    <x:t xml:space="preserve">Location</x:t>
  </x:si>
  <x:si>
    <x:t xml:space="preserve">AADT</x:t>
  </x:si>
  <x:si>
    <x:t xml:space="preserve">NH04-001</x:t>
  </x:si>
  <x:si>
    <x:t xml:space="preserve">Birtamod South</x:t>
  </x:si>
  <x:si>
    <x:t xml:space="preserve">NH01-001</x:t>
  </x:si>
  <x:si>
    <x:t xml:space="preserve">Charali East</x:t>
  </x:si>
  <x:si>
    <x:t xml:space="preserve">NH01-002</x:t>
  </x:si>
  <x:si>
    <x:t xml:space="preserve">Charali West</x:t>
  </x:si>
  <x:si>
    <x:t xml:space="preserve">NH02-004</x:t>
  </x:si>
  <x:si>
    <x:t xml:space="preserve">Charali North</x:t>
  </x:si>
  <x:si>
    <x:t xml:space="preserve">F00201</x:t>
  </x:si>
  <x:si>
    <x:t xml:space="preserve">Damak South</x:t>
  </x:si>
  <x:si>
    <x:t xml:space="preserve">NH01-005</x:t>
  </x:si>
  <x:si>
    <x:t xml:space="preserve">Damak West</x:t>
  </x:si>
  <x:si>
    <x:t xml:space="preserve">F03801</x:t>
  </x:si>
  <x:si>
    <x:t xml:space="preserve">Fikkal East</x:t>
  </x:si>
  <x:si>
    <x:t xml:space="preserve">NH02-006</x:t>
  </x:si>
  <x:si>
    <x:t xml:space="preserve">Fikkal West</x:t>
  </x:si>
  <x:si>
    <x:t xml:space="preserve">NH02-008</x:t>
  </x:si>
  <x:si>
    <x:t xml:space="preserve">Ilam North</x:t>
  </x:si>
  <x:si>
    <x:t xml:space="preserve">NH02-010</x:t>
  </x:si>
  <x:si>
    <x:t xml:space="preserve">Phidim North</x:t>
  </x:si>
  <x:si>
    <x:t xml:space="preserve">NH05-004</x:t>
  </x:si>
  <x:si>
    <x:t xml:space="preserve">Biratnagar East</x:t>
  </x:si>
  <x:si>
    <x:t xml:space="preserve">NH08-004</x:t>
  </x:si>
  <x:si>
    <x:t xml:space="preserve">Itahari South</x:t>
  </x:si>
  <x:si>
    <x:t xml:space="preserve">NH01-008</x:t>
  </x:si>
  <x:si>
    <x:t xml:space="preserve">Ithari East</x:t>
  </x:si>
  <x:si>
    <x:t xml:space="preserve">NH01-009</x:t>
  </x:si>
  <x:si>
    <x:t xml:space="preserve">Ithari West</x:t>
  </x:si>
  <x:si>
    <x:t xml:space="preserve">NH08-005</x:t>
  </x:si>
  <x:si>
    <x:t xml:space="preserve">Itahari North</x:t>
  </x:si>
  <x:si>
    <x:t xml:space="preserve">NH01-011</x:t>
  </x:si>
  <x:si>
    <x:t xml:space="preserve">Koshi Barrage East</x:t>
  </x:si>
  <x:si>
    <x:t xml:space="preserve">NH08-007</x:t>
  </x:si>
  <x:si>
    <x:t xml:space="preserve">Dharan North</x:t>
  </x:si>
  <x:si>
    <x:t xml:space="preserve">NH03-006</x:t>
  </x:si>
  <x:si>
    <x:t xml:space="preserve">Basantapur East</x:t>
  </x:si>
  <x:si>
    <x:t xml:space="preserve">NH03-009</x:t>
  </x:si>
  <x:si>
    <x:t xml:space="preserve">Hile North</x:t>
  </x:si>
  <x:si>
    <x:t xml:space="preserve">NH03-010</x:t>
  </x:si>
  <x:si>
    <x:t xml:space="preserve">Pakhribas</x:t>
  </x:si>
  <x:si>
    <x:t xml:space="preserve">F00301</x:t>
  </x:si>
  <x:si>
    <x:t xml:space="preserve">Bhardaha South</x:t>
  </x:si>
  <x:si>
    <x:t xml:space="preserve">F00401</x:t>
  </x:si>
  <x:si>
    <x:t xml:space="preserve">Rupani South</x:t>
  </x:si>
  <x:si>
    <x:t xml:space="preserve">NH01-015</x:t>
  </x:si>
  <x:si>
    <x:t xml:space="preserve">Lahan East</x:t>
  </x:si>
  <x:si>
    <x:t xml:space="preserve">NH16-003</x:t>
  </x:si>
  <x:si>
    <x:t xml:space="preserve">Kadmaha North</x:t>
  </x:si>
  <x:si>
    <x:t xml:space="preserve">NH20-002</x:t>
  </x:si>
  <x:si>
    <x:t xml:space="preserve">Chourhwa South</x:t>
  </x:si>
  <x:si>
    <x:t xml:space="preserve">NH20-003</x:t>
  </x:si>
  <x:si>
    <x:t xml:space="preserve">Mirchaiya North</x:t>
  </x:si>
  <x:si>
    <x:t xml:space="preserve">NH20-005</x:t>
  </x:si>
  <x:si>
    <x:t xml:space="preserve">Katari North</x:t>
  </x:si>
  <x:si>
    <x:t xml:space="preserve">NH30-002</x:t>
  </x:si>
  <x:si>
    <x:t xml:space="preserve">Dharapani South</x:t>
  </x:si>
  <x:si>
    <x:t xml:space="preserve">NH22-001</x:t>
  </x:si>
  <x:si>
    <x:t xml:space="preserve">Dhalkebar South</x:t>
  </x:si>
  <x:si>
    <x:t xml:space="preserve">NH01-020</x:t>
  </x:si>
  <x:si>
    <x:t xml:space="preserve">Dhalkebar East</x:t>
  </x:si>
  <x:si>
    <x:t xml:space="preserve">NH01-021</x:t>
  </x:si>
  <x:si>
    <x:t xml:space="preserve">Bardibas East</x:t>
  </x:si>
  <x:si>
    <x:t xml:space="preserve">H0602</x:t>
  </x:si>
  <x:si>
    <x:t xml:space="preserve">Dhudhmati Bridge</x:t>
  </x:si>
  <x:si>
    <x:t xml:space="preserve">NH28-004</x:t>
  </x:si>
  <x:si>
    <x:t xml:space="preserve">Bardibas South</x:t>
  </x:si>
  <x:si>
    <x:t xml:space="preserve">NH13-001</x:t>
  </x:si>
  <x:si>
    <x:t xml:space="preserve">Bardibas North</x:t>
  </x:si>
  <x:si>
    <x:t xml:space="preserve">NH32-001</x:t>
  </x:si>
  <x:si>
    <x:t xml:space="preserve">Nawalpur South</x:t>
  </x:si>
  <x:si>
    <x:t xml:space="preserve">NH01-025</x:t>
  </x:si>
  <x:si>
    <x:t xml:space="preserve">Karmaiya</x:t>
  </x:si>
  <x:si>
    <x:t xml:space="preserve">NH28-009</x:t>
  </x:si>
  <x:si>
    <x:t xml:space="preserve">Tamakoshi East</x:t>
  </x:si>
  <x:si>
    <x:t xml:space="preserve">NH23-006</x:t>
  </x:si>
  <x:si>
    <x:t xml:space="preserve">Tamakoshi South</x:t>
  </x:si>
  <x:si>
    <x:t xml:space="preserve">NH36-001</x:t>
  </x:si>
  <x:si>
    <x:t xml:space="preserve">Chandranigahpur South</x:t>
  </x:si>
  <x:si>
    <x:t xml:space="preserve">NH41-003</x:t>
  </x:si>
  <x:si>
    <x:t xml:space="preserve">Pathalaiya South</x:t>
  </x:si>
  <x:si>
    <x:t xml:space="preserve">NH01-028</x:t>
  </x:si>
  <x:si>
    <x:t xml:space="preserve">Pathlaiya East</x:t>
  </x:si>
  <x:si>
    <x:t xml:space="preserve">NH01-029</x:t>
  </x:si>
  <x:si>
    <x:t xml:space="preserve">Pathlaiya North</x:t>
  </x:si>
  <x:si>
    <x:t xml:space="preserve">NH05-020</x:t>
  </x:si>
  <x:si>
    <x:t xml:space="preserve">Birgunj East</x:t>
  </x:si>
  <x:si>
    <x:t xml:space="preserve">NH01-032</x:t>
  </x:si>
  <x:si>
    <x:t xml:space="preserve">Hetauda West</x:t>
  </x:si>
  <x:si>
    <x:t xml:space="preserve">NH41-004</x:t>
  </x:si>
  <x:si>
    <x:t xml:space="preserve">Hetauda North</x:t>
  </x:si>
  <x:si>
    <x:t xml:space="preserve">F01901</x:t>
  </x:si>
  <x:si>
    <x:t xml:space="preserve">Bhainse Junction</x:t>
  </x:si>
  <x:si>
    <x:t xml:space="preserve">F02001</x:t>
  </x:si>
  <x:si>
    <x:t xml:space="preserve">Palung</x:t>
  </x:si>
  <x:si>
    <x:t xml:space="preserve">NH01-034</x:t>
  </x:si>
  <x:si>
    <x:t xml:space="preserve">Narayanghat East</x:t>
  </x:si>
  <x:si>
    <x:t xml:space="preserve">F03701</x:t>
  </x:si>
  <x:si>
    <x:t xml:space="preserve">Narayanghat West</x:t>
  </x:si>
  <x:si>
    <x:t xml:space="preserve">NH44-004</x:t>
  </x:si>
  <x:si>
    <x:t xml:space="preserve">Mugling South</x:t>
  </x:si>
  <x:si>
    <x:t xml:space="preserve">NH17-004</x:t>
  </x:si>
  <x:si>
    <x:t xml:space="preserve">Mugling East</x:t>
  </x:si>
  <x:si>
    <x:t xml:space="preserve">NH17-005</x:t>
  </x:si>
  <x:si>
    <x:t xml:space="preserve">Mugling West</x:t>
  </x:si>
  <x:si>
    <x:t xml:space="preserve">NH34-010</x:t>
  </x:si>
  <x:si>
    <x:t xml:space="preserve">Dhulikhel East</x:t>
  </x:si>
  <x:si>
    <x:t xml:space="preserve">NH13-006</x:t>
  </x:si>
  <x:si>
    <x:t xml:space="preserve">Dhulikhel South</x:t>
  </x:si>
  <x:si>
    <x:t xml:space="preserve">F02901</x:t>
  </x:si>
  <x:si>
    <x:t xml:space="preserve">Banepa South</x:t>
  </x:si>
  <x:si>
    <x:t xml:space="preserve">NH34-011</x:t>
  </x:si>
  <x:si>
    <x:t xml:space="preserve">Panchkhal-Police Chauki</x:t>
  </x:si>
  <x:si>
    <x:t xml:space="preserve">F03001</x:t>
  </x:si>
  <x:si>
    <x:t xml:space="preserve">Panchkhal-Helambu</x:t>
  </x:si>
  <x:si>
    <x:t xml:space="preserve">F02301</x:t>
  </x:si>
  <x:si>
    <x:t xml:space="preserve">Satdobato South (Chapagaun)</x:t>
  </x:si>
  <x:si>
    <x:t xml:space="preserve">F02401</x:t>
  </x:si>
  <x:si>
    <x:t xml:space="preserve">Satdobato Junction South</x:t>
  </x:si>
  <x:si>
    <x:t xml:space="preserve">NH39-015</x:t>
  </x:si>
  <x:si>
    <x:t xml:space="preserve">Ring Road (Manohara Bridge)</x:t>
  </x:si>
  <x:si>
    <x:t xml:space="preserve">NH39-012</x:t>
  </x:si>
  <x:si>
    <x:t xml:space="preserve">Ring Road (Balkhu East)</x:t>
  </x:si>
  <x:si>
    <x:t xml:space="preserve">F02801</x:t>
  </x:si>
  <x:si>
    <x:t xml:space="preserve">Kharipati</x:t>
  </x:si>
  <x:si>
    <x:t xml:space="preserve">NH34-005</x:t>
  </x:si>
  <x:si>
    <x:t xml:space="preserve">Hanumante Bridge</x:t>
  </x:si>
  <x:si>
    <x:t xml:space="preserve">NH34-003</x:t>
  </x:si>
  <x:si>
    <x:t xml:space="preserve">Manohara Bridge</x:t>
  </x:si>
  <x:si>
    <x:t xml:space="preserve">NH39-002</x:t>
  </x:si>
  <x:si>
    <x:t xml:space="preserve">Ring Road (Sinamangal)</x:t>
  </x:si>
  <x:si>
    <x:t xml:space="preserve">F02602</x:t>
  </x:si>
  <x:si>
    <x:t xml:space="preserve">Chabahil East</x:t>
  </x:si>
  <x:si>
    <x:t xml:space="preserve">F02701</x:t>
  </x:si>
  <x:si>
    <x:t xml:space="preserve">Jorpati North</x:t>
  </x:si>
  <x:si>
    <x:t xml:space="preserve">NH39-006</x:t>
  </x:si>
  <x:si>
    <x:t xml:space="preserve">Ring Road (Narayan Gopal Chowk)</x:t>
  </x:si>
  <x:si>
    <x:t xml:space="preserve">F02502</x:t>
  </x:si>
  <x:si>
    <x:t xml:space="preserve">Gangalal Hospital North</x:t>
  </x:si>
  <x:si>
    <x:t xml:space="preserve">NH18-001</x:t>
  </x:si>
  <x:si>
    <x:t xml:space="preserve">Balaju Bypass North</x:t>
  </x:si>
  <x:si>
    <x:t xml:space="preserve">NH39-009</x:t>
  </x:si>
  <x:si>
    <x:t xml:space="preserve">Ring Road (Banasthali)</x:t>
  </x:si>
  <x:si>
    <x:t xml:space="preserve">F02201</x:t>
  </x:si>
  <x:si>
    <x:t xml:space="preserve">T.U. Gate</x:t>
  </x:si>
  <x:si>
    <x:t xml:space="preserve">F02202</x:t>
  </x:si>
  <x:si>
    <x:t xml:space="preserve">Taudaha</x:t>
  </x:si>
  <x:si>
    <x:t xml:space="preserve">NH41-013</x:t>
  </x:si>
  <x:si>
    <x:t xml:space="preserve">Nagdhunga</x:t>
  </x:si>
  <x:si>
    <x:t xml:space="preserve">NH23-009</x:t>
  </x:si>
  <x:si>
    <x:t xml:space="preserve">Lamosangu</x:t>
  </x:si>
  <x:si>
    <x:t xml:space="preserve">NH31-001</x:t>
  </x:si>
  <x:si>
    <x:t xml:space="preserve">Dolalghat</x:t>
  </x:si>
  <x:si>
    <x:t xml:space="preserve">NH34-015</x:t>
  </x:si>
  <x:si>
    <x:t xml:space="preserve">Lamosangu-Barabise North</x:t>
  </x:si>
  <x:si>
    <x:t xml:space="preserve">NH41-011</x:t>
  </x:si>
  <x:si>
    <x:t xml:space="preserve">Naubise West (TRP)</x:t>
  </x:si>
  <x:si>
    <x:t xml:space="preserve">NH42-005</x:t>
  </x:si>
  <x:si>
    <x:t xml:space="preserve">Galchhi North</x:t>
  </x:si>
  <x:si>
    <x:t xml:space="preserve">NH43-001</x:t>
  </x:si>
  <x:si>
    <x:t xml:space="preserve">Malekhu North</x:t>
  </x:si>
  <x:si>
    <x:t xml:space="preserve">NH18-004</x:t>
  </x:si>
  <x:si>
    <x:t xml:space="preserve">Ranipauwa</x:t>
  </x:si>
  <x:si>
    <x:t xml:space="preserve">F00801</x:t>
  </x:si>
  <x:si>
    <x:t xml:space="preserve">Bardhaghat South</x:t>
  </x:si>
  <x:si>
    <x:t xml:space="preserve">NH01-042</x:t>
  </x:si>
  <x:si>
    <x:t xml:space="preserve">Bardhaghat West</x:t>
  </x:si>
  <x:si>
    <x:t xml:space="preserve">F00901</x:t>
  </x:si>
  <x:si>
    <x:t xml:space="preserve">Sunwal South</x:t>
  </x:si>
  <x:si>
    <x:t xml:space="preserve">NH01-038</x:t>
  </x:si>
  <x:si>
    <x:t xml:space="preserve">Gaidakot</x:t>
  </x:si>
  <x:si>
    <x:t xml:space="preserve">NH05-026</x:t>
  </x:si>
  <x:si>
    <x:t xml:space="preserve">Bhairahawa West</x:t>
  </x:si>
  <x:si>
    <x:t xml:space="preserve">F04501</x:t>
  </x:si>
  <x:si>
    <x:t xml:space="preserve">Lumbini West</x:t>
  </x:si>
  <x:si>
    <x:t xml:space="preserve">NH01-045</x:t>
  </x:si>
  <x:si>
    <x:t xml:space="preserve">Butwal East</x:t>
  </x:si>
  <x:si>
    <x:t xml:space="preserve">NH47-002</x:t>
  </x:si>
  <x:si>
    <x:t xml:space="preserve">Butwal South</x:t>
  </x:si>
  <x:si>
    <x:t xml:space="preserve">NH01-047</x:t>
  </x:si>
  <x:si>
    <x:t xml:space="preserve">Butwal West</x:t>
  </x:si>
  <x:si>
    <x:t xml:space="preserve">NH47-004</x:t>
  </x:si>
  <x:si>
    <x:t xml:space="preserve">Butwal North</x:t>
  </x:si>
  <x:si>
    <x:t xml:space="preserve">NH01-050</x:t>
  </x:si>
  <x:si>
    <x:t xml:space="preserve">Jitpur West</x:t>
  </x:si>
  <x:si>
    <x:t xml:space="preserve">NH50-001</x:t>
  </x:si>
  <x:si>
    <x:t xml:space="preserve">Jitpur South</x:t>
  </x:si>
  <x:si>
    <x:t xml:space="preserve">NH01-051</x:t>
  </x:si>
  <x:si>
    <x:t xml:space="preserve">Gorusinge West</x:t>
  </x:si>
  <x:si>
    <x:t xml:space="preserve">F01201</x:t>
  </x:si>
  <x:si>
    <x:t xml:space="preserve">Chanauta South</x:t>
  </x:si>
  <x:si>
    <x:t xml:space="preserve">NH01-052</x:t>
  </x:si>
  <x:si>
    <x:t xml:space="preserve">Chanauta West</x:t>
  </x:si>
  <x:si>
    <x:t xml:space="preserve">NH51-002</x:t>
  </x:si>
  <x:si>
    <x:t xml:space="preserve">Gorusinge North</x:t>
  </x:si>
  <x:si>
    <x:t xml:space="preserve">NH48-001</x:t>
  </x:si>
  <x:si>
    <x:t xml:space="preserve">Tansen West</x:t>
  </x:si>
  <x:si>
    <x:t xml:space="preserve">NH47-007</x:t>
  </x:si>
  <x:si>
    <x:t xml:space="preserve">Bartung North</x:t>
  </x:si>
  <x:si>
    <x:t xml:space="preserve">NH25-001</x:t>
  </x:si>
  <x:si>
    <x:t xml:space="preserve">Dumre  North</x:t>
  </x:si>
  <x:si>
    <x:t xml:space="preserve">NH44-006</x:t>
  </x:si>
  <x:si>
    <x:t xml:space="preserve">Abukhaireni North</x:t>
  </x:si>
  <x:si>
    <x:t xml:space="preserve">NH17-011</x:t>
  </x:si>
  <x:si>
    <x:t xml:space="preserve">Pokhara East</x:t>
  </x:si>
  <x:si>
    <x:t xml:space="preserve">NH47-012</x:t>
  </x:si>
  <x:si>
    <x:t xml:space="preserve">Pokhara South</x:t>
  </x:si>
  <x:si>
    <x:t xml:space="preserve">F04101</x:t>
  </x:si>
  <x:si>
    <x:t xml:space="preserve">Pokhara West</x:t>
  </x:si>
  <x:si>
    <x:t xml:space="preserve">F04202</x:t>
  </x:si>
  <x:si>
    <x:t xml:space="preserve">Pokhara North</x:t>
  </x:si>
  <x:si>
    <x:t xml:space="preserve">NH03-048</x:t>
  </x:si>
  <x:si>
    <x:t xml:space="preserve">Kusma West</x:t>
  </x:si>
  <x:si>
    <x:t xml:space="preserve">NH09-026</x:t>
  </x:si>
  <x:si>
    <x:t xml:space="preserve">Chakchake East</x:t>
  </x:si>
  <x:si>
    <x:t xml:space="preserve">NH53-003</x:t>
  </x:si>
  <x:si>
    <x:t xml:space="preserve">Chakchake North</x:t>
  </x:si>
  <x:si>
    <x:t xml:space="preserve">NH01-056</x:t>
  </x:si>
  <x:si>
    <x:t xml:space="preserve">Bhalubang West</x:t>
  </x:si>
  <x:si>
    <x:t xml:space="preserve">NH53-001</x:t>
  </x:si>
  <x:si>
    <x:t xml:space="preserve">Bhalubang North</x:t>
  </x:si>
  <x:si>
    <x:t xml:space="preserve">NH54-002</x:t>
  </x:si>
  <x:si>
    <x:t xml:space="preserve">Lamahi North</x:t>
  </x:si>
  <x:si>
    <x:t xml:space="preserve">NH09-032</x:t>
  </x:si>
  <x:si>
    <x:t xml:space="preserve">Tulsipur East</x:t>
  </x:si>
  <x:si>
    <x:t xml:space="preserve">NH55-001</x:t>
  </x:si>
  <x:si>
    <x:t xml:space="preserve">Ameliya North</x:t>
  </x:si>
  <x:si>
    <x:t xml:space="preserve">NH01-058</x:t>
  </x:si>
  <x:si>
    <x:t xml:space="preserve">Ameliya West</x:t>
  </x:si>
  <x:si>
    <x:t xml:space="preserve">NH55-003</x:t>
  </x:si>
  <x:si>
    <x:t xml:space="preserve">Tulsipur North</x:t>
  </x:si>
  <x:si>
    <x:t xml:space="preserve">NH05-034</x:t>
  </x:si>
  <x:si>
    <x:t xml:space="preserve">Nepalgunj West</x:t>
  </x:si>
  <x:si>
    <x:t xml:space="preserve">NH58-004</x:t>
  </x:si>
  <x:si>
    <x:t xml:space="preserve">Kohalpur South</x:t>
  </x:si>
  <x:si>
    <x:t xml:space="preserve">NH01-060</x:t>
  </x:si>
  <x:si>
    <x:t xml:space="preserve">Kohalpur East</x:t>
  </x:si>
  <x:si>
    <x:t xml:space="preserve">NH01-061</x:t>
  </x:si>
  <x:si>
    <x:t xml:space="preserve">Kohalpur West</x:t>
  </x:si>
  <x:si>
    <x:t xml:space="preserve">NH58-005</x:t>
  </x:si>
  <x:si>
    <x:t xml:space="preserve">Kohalpur North</x:t>
  </x:si>
  <x:si>
    <x:t xml:space="preserve">F01601</x:t>
  </x:si>
  <x:si>
    <x:t xml:space="preserve">Bhuri Gaun South</x:t>
  </x:si>
  <x:si>
    <x:t xml:space="preserve">NH09-036</x:t>
  </x:si>
  <x:si>
    <x:t xml:space="preserve">Chinchu East</x:t>
  </x:si>
  <x:si>
    <x:t xml:space="preserve">NH58-008</x:t>
  </x:si>
  <x:si>
    <x:t xml:space="preserve">Chinchu North</x:t>
  </x:si>
  <x:si>
    <x:t xml:space="preserve">NH58-010</x:t>
  </x:si>
  <x:si>
    <x:t xml:space="preserve">Surkhet West</x:t>
  </x:si>
  <x:si>
    <x:t xml:space="preserve">NH60-001</x:t>
  </x:si>
  <x:si>
    <x:t xml:space="preserve">Surkhet North</x:t>
  </x:si>
  <x:si>
    <x:t xml:space="preserve">F01701</x:t>
  </x:si>
  <x:si>
    <x:t xml:space="preserve">Junga South</x:t>
  </x:si>
  <x:si>
    <x:t xml:space="preserve">NH66-002</x:t>
  </x:si>
  <x:si>
    <x:t xml:space="preserve">Attariya South</x:t>
  </x:si>
  <x:si>
    <x:t xml:space="preserve">NH01-066</x:t>
  </x:si>
  <x:si>
    <x:t xml:space="preserve">Attariya East</x:t>
  </x:si>
  <x:si>
    <x:t xml:space="preserve">NH01-067</x:t>
  </x:si>
  <x:si>
    <x:t xml:space="preserve">Attariya West</x:t>
  </x:si>
  <x:si>
    <x:t xml:space="preserve">NH66-003</x:t>
  </x:si>
  <x:si>
    <x:t xml:space="preserve">Attariya North</x:t>
  </x:si>
  <x:si>
    <x:t xml:space="preserve">NH03-079</x:t>
  </x:si>
  <x:si>
    <x:t xml:space="preserve">Sanfebagar South</x:t>
  </x:si>
  <x:si>
    <x:t xml:space="preserve">NH03-080</x:t>
  </x:si>
  <x:si>
    <x:t xml:space="preserve">Safebagar North</x:t>
  </x:si>
  <x:si>
    <x:t xml:space="preserve">NH03-082</x:t>
  </x:si>
  <x:si>
    <x:t xml:space="preserve">Silagadhi Junction</x:t>
  </x:si>
  <x:si>
    <x:t xml:space="preserve">NH66-006</x:t>
  </x:si>
  <x:si>
    <x:t xml:space="preserve">Syaule South</x:t>
  </x:si>
  <x:si>
    <x:t xml:space="preserve">NH03-085</x:t>
  </x:si>
  <x:si>
    <x:t xml:space="preserve">Syaule East</x:t>
  </x:si>
  <x:si>
    <x:t xml:space="preserve">NH03-086</x:t>
  </x:si>
  <x:si>
    <x:t xml:space="preserve">Syaule North</x:t>
  </x:si>
  <x:si>
    <x:t xml:space="preserve">NH03-090</x:t>
  </x:si>
  <x:si>
    <x:t xml:space="preserve">Satbanjh West</x:t>
  </x:si>
  <x:si>
    <x:t xml:space="preserve">NH66-007</x:t>
  </x:si>
  <x:si>
    <x:t xml:space="preserve">Satbanjh North</x:t>
  </x:si>
  <x:si>
    <x:t xml:space="preserve">NH64-001</x:t>
  </x:si>
  <x:si>
    <x:t xml:space="preserve">Khodpe East</x:t>
  </x:si>
  <x:si>
    <x:t xml:space="preserve">NH03-088</x:t>
  </x:si>
  <x:si>
    <x:t xml:space="preserve">Khodpe North</x:t>
  </x:si>
  <x:si>
    <x:t xml:space="preserve">NH02-003</x:t>
  </x:si>
  <x:si>
    <x:t xml:space="preserve">Charali South</x:t>
  </x:si>
  <x:si>
    <x:t xml:space="preserve">NH41-001</x:t>
  </x:si>
  <x:si>
    <x:t xml:space="preserve">Parawanipur West</x:t>
  </x:si>
  <x:si>
    <x:t xml:space="preserve">F06201</x:t>
  </x:si>
  <x:si>
    <x:t xml:space="preserve">Harichamod South</x:t>
  </x:si>
  <x:si>
    <x:t xml:space="preserve">F05401</x:t>
  </x:si>
  <x:si>
    <x:t xml:space="preserve">Duhabi West</x:t>
  </x:si>
  <x:si>
    <x:t xml:space="preserve">NH51-001</x:t>
  </x:si>
  <x:si>
    <x:t xml:space="preserve">Taulihawa North</x:t>
  </x:si>
  <x:si>
    <x:t xml:space="preserve">NH05-026A</x:t>
  </x:si>
  <x:si>
    <x:t xml:space="preserve">Bhairahawa East</x:t>
  </x:si>
  <x:si>
    <x:t xml:space="preserve">F06001</x:t>
  </x:si>
  <x:si>
    <x:t xml:space="preserve">Urlabari South</x:t>
  </x:si>
  <x:si>
    <x:t xml:space="preserve">NH10-001</x:t>
  </x:si>
  <x:si>
    <x:t xml:space="preserve">Basantapur North</x:t>
  </x:si>
  <x:si>
    <x:t xml:space="preserve">NH42-008</x:t>
  </x:si>
  <x:si>
    <x:t xml:space="preserve">Bidur North</x:t>
  </x:si>
  <x:si>
    <x:t xml:space="preserve">F04206</x:t>
  </x:si>
  <x:si>
    <x:t xml:space="preserve">Baglung North</x:t>
  </x:si>
  <x:si>
    <x:t xml:space="preserve">NH55-006</x:t>
  </x:si>
  <x:si>
    <x:t xml:space="preserve">Shital pati North</x:t>
  </x:si>
  <x:si>
    <x:t xml:space="preserve">NH58-015</x:t>
  </x:si>
  <x:si>
    <x:t xml:space="preserve">Khulalu South</x:t>
  </x:si>
  <x:si>
    <x:t xml:space="preserve">NH39-007</x:t>
  </x:si>
  <x:si>
    <x:t xml:space="preserve">Narayan Gopal Chowk West</x:t>
  </x:si>
  <x:si>
    <x:t xml:space="preserve">F02501</x:t>
  </x:si>
  <x:si>
    <x:t xml:space="preserve">Narayan Gopal Chowk South</x:t>
  </x:si>
  <x:si>
    <x:t xml:space="preserve">NH21-001</x:t>
  </x:si>
  <x:si>
    <x:t xml:space="preserve">Sitapaila South</x:t>
  </x:si>
  <x:si>
    <x:t xml:space="preserve">NH39-011</x:t>
  </x:si>
  <x:si>
    <x:t xml:space="preserve">Kalanki</x:t>
  </x:si>
  <x:si>
    <x:t xml:space="preserve">NH15-001</x:t>
  </x:si>
  <x:si>
    <x:t xml:space="preserve">Gwarko East</x:t>
  </x:si>
  <x:si>
    <x:t xml:space="preserve">F09401</x:t>
  </x:si>
  <x:si>
    <x:t xml:space="preserve">Byasi Chowk North</x:t>
  </x:si>
  <x:si>
    <x:t xml:space="preserve">NH39-014</x:t>
  </x:si>
  <x:si>
    <x:t xml:space="preserve">Satdobato North</x:t>
  </x:si>
  <x:si>
    <x:t xml:space="preserve">NH05-008</x:t>
  </x:si>
  <x:si>
    <x:t xml:space="preserve">Bhagwanpur</x:t>
  </x:si>
  <x:si>
    <x:t xml:space="preserve">NH05-009</x:t>
  </x:si>
  <x:si>
    <x:t xml:space="preserve">Janakpur</x:t>
  </x:si>
  <x:si>
    <x:t xml:space="preserve">NH05-018</x:t>
  </x:si>
  <x:si>
    <x:t xml:space="preserve">Gaur</x:t>
  </x:si>
  <x:si>
    <x:t xml:space="preserve">NH05-021</x:t>
  </x:si>
  <x:si>
    <x:t xml:space="preserve">Birgunj</x:t>
  </x:si>
  <x:si>
    <x:t xml:space="preserve">NH05-033</x:t>
  </x:si>
  <x:si>
    <x:t xml:space="preserve">Nepalgunj</x:t>
  </x:si>
  <x:si>
    <x:t xml:space="preserve">NH59-002</x:t>
  </x:si>
  <x:si>
    <x:t xml:space="preserve">Bhurigan -South</x:t>
  </x:si>
  <x:si>
    <x:t xml:space="preserve">NH05-031</x:t>
  </x:si>
  <x:si>
    <x:t xml:space="preserve">Koilabas Road</x:t>
  </x:si>
  <x:si>
    <x:t xml:space="preserve">NH05-026C</x:t>
  </x:si>
  <x:si>
    <x:t xml:space="preserve">Bhairawa-Parasi</x:t>
  </x:si>
  <x:si>
    <x:t xml:space="preserve">NH05-041</x:t>
  </x:si>
  <x:si>
    <x:t xml:space="preserve">Belauri-Daiji</x:t>
  </x:si>
  <x:si>
    <x:t xml:space="preserve">NH05-038</x:t>
  </x:si>
  <x:si>
    <x:t xml:space="preserve">Lalbojhi</x:t>
  </x:si>
  <x:si>
    <x:t xml:space="preserve">12 Border Trade</x:t>
  </x:si>
  <x:si>
    <x:t xml:space="preserve">Daily trade flow by border crossing. Source: Nepal MoCI Trade Report 2022/23.</x:t>
  </x:si>
  <x:si>
    <x:t xml:space="preserve">Lon (°E)</x:t>
  </x:si>
  <x:si>
    <x:t xml:space="preserve">Lat (°N)</x:t>
  </x:si>
  <x:si>
    <x:t xml:space="preserve">Trade Volume (USD M/day)</x:t>
  </x:si>
  <x:si>
    <x:t xml:space="preserve">Border Crossing</x:t>
  </x:si>
  <x:si>
    <x:t xml:space="preserve">Biratnagar</x:t>
  </x:si>
  <x:si>
    <x:t xml:space="preserve">Bhairahawa</x:t>
  </x:si>
  <x:si>
    <x:t xml:space="preserve">Kakarbhitta</x:t>
  </x:si>
  <x:si>
    <x:t xml:space="preserve">Dhangadhi</x:t>
  </x:si>
  <x:si>
    <x:t xml:space="preserve">Simara</x:t>
  </x:si>
  <x:si>
    <x:t xml:space="preserve">Birgunj ≈ 70 % of all Nepal imports by value. Used as node-weight W_j in the Hansen gravity term (E2).</x:t>
  </x:si>
  <x:si>
    <x:t xml:space="preserve">13 CAAN Airports</x:t>
  </x:si>
  <x:si>
    <x:t xml:space="preserve">Civil Aviation Authority of Nepal 2023 register. Type ∈ {International, Trunk, Regional, STOL}. Hub ∈ {hub, TIA, PKR} controls connector colour in maps.</x:t>
  </x:si>
  <x:si>
    <x:t xml:space="preserve">ICAO/Code</x:t>
  </x:si>
  <x:si>
    <x:t xml:space="preserve">Airport Name</x:t>
  </x:si>
  <x:si>
    <x:t xml:space="preserve">Type</x:t>
  </x:si>
  <x:si>
    <x:t xml:space="preserve">Hub</x:t>
  </x:si>
  <x:si>
    <x:t xml:space="preserve">TIA</x:t>
  </x:si>
  <x:si>
    <x:t xml:space="preserve">Tribhuvan Intl KTM</x:t>
  </x:si>
  <x:si>
    <x:t xml:space="preserve">International</x:t>
  </x:si>
  <x:si>
    <x:t xml:space="preserve">hub</x:t>
  </x:si>
  <x:si>
    <x:t xml:space="preserve">PKR</x:t>
  </x:si>
  <x:si>
    <x:t xml:space="preserve">Pokhara Intl</x:t>
  </x:si>
  <x:si>
    <x:t xml:space="preserve">BIR</x:t>
  </x:si>
  <x:si>
    <x:t xml:space="preserve">Trunk</x:t>
  </x:si>
  <x:si>
    <x:t xml:space="preserve">BHR</x:t>
  </x:si>
  <x:si>
    <x:t xml:space="preserve">Bharatpur</x:t>
  </x:si>
  <x:si>
    <x:t xml:space="preserve">JAN</x:t>
  </x:si>
  <x:si>
    <x:t xml:space="preserve">KEP</x:t>
  </x:si>
  <x:si>
    <x:t xml:space="preserve">DHI</x:t>
  </x:si>
  <x:si>
    <x:t xml:space="preserve">SKH</x:t>
  </x:si>
  <x:si>
    <x:t xml:space="preserve">Surkhet</x:t>
  </x:si>
  <x:si>
    <x:t xml:space="preserve">BDP</x:t>
  </x:si>
  <x:si>
    <x:t xml:space="preserve">Bhadrapur</x:t>
  </x:si>
  <x:si>
    <x:t xml:space="preserve">SIF</x:t>
  </x:si>
  <x:si>
    <x:t xml:space="preserve">RJB</x:t>
  </x:si>
  <x:si>
    <x:t xml:space="preserve">Rajbiraj</x:t>
  </x:si>
  <x:si>
    <x:t xml:space="preserve">BWA</x:t>
  </x:si>
  <x:si>
    <x:t xml:space="preserve">Regional</x:t>
  </x:si>
  <x:si>
    <x:t xml:space="preserve">IMK</x:t>
  </x:si>
  <x:si>
    <x:t xml:space="preserve">Manthali</x:t>
  </x:si>
  <x:si>
    <x:t xml:space="preserve">LUA</x:t>
  </x:si>
  <x:si>
    <x:t xml:space="preserve">Lukla</x:t>
  </x:si>
  <x:si>
    <x:t xml:space="preserve">STOL</x:t>
  </x:si>
  <x:si>
    <x:t xml:space="preserve">JMO</x:t>
  </x:si>
  <x:si>
    <x:t xml:space="preserve">Jomsom</x:t>
  </x:si>
  <x:si>
    <x:t xml:space="preserve">MAN</x:t>
  </x:si>
  <x:si>
    <x:t xml:space="preserve">Manang</x:t>
  </x:si>
  <x:si>
    <x:t xml:space="preserve">PPL</x:t>
  </x:si>
  <x:si>
    <x:t xml:space="preserve">Phaplu</x:t>
  </x:si>
  <x:si>
    <x:t xml:space="preserve">TPJ</x:t>
  </x:si>
  <x:si>
    <x:t xml:space="preserve">Taplejung</x:t>
  </x:si>
  <x:si>
    <x:t xml:space="preserve">TMI</x:t>
  </x:si>
  <x:si>
    <x:t xml:space="preserve">Tumlingtar</x:t>
  </x:si>
  <x:si>
    <x:t xml:space="preserve">BJP</x:t>
  </x:si>
  <x:si>
    <x:t xml:space="preserve">Bhojpur</x:t>
  </x:si>
  <x:si>
    <x:t xml:space="preserve">LDN</x:t>
  </x:si>
  <x:si>
    <x:t xml:space="preserve">Lamidanda</x:t>
  </x:si>
  <x:si>
    <x:t xml:space="preserve">DOP</x:t>
  </x:si>
  <x:si>
    <x:t xml:space="preserve">Dolpa/Juphal</x:t>
  </x:si>
  <x:si>
    <x:t xml:space="preserve">JUL</x:t>
  </x:si>
  <x:si>
    <x:t xml:space="preserve">Jumla</x:t>
  </x:si>
  <x:si>
    <x:t xml:space="preserve">DHO</x:t>
  </x:si>
  <x:si>
    <x:t xml:space="preserve">Dhorpatan</x:t>
  </x:si>
  <x:si>
    <x:t xml:space="preserve">RHP</x:t>
  </x:si>
  <x:si>
    <x:t xml:space="preserve">Sandhikharka</x:t>
  </x:si>
  <x:si>
    <x:t xml:space="preserve">DGH</x:t>
  </x:si>
  <x:si>
    <x:t xml:space="preserve">Dipayal</x:t>
  </x:si>
  <x:si>
    <x:t xml:space="preserve">BAP</x:t>
  </x:si>
  <x:si>
    <x:t xml:space="preserve">Bajhang</x:t>
  </x:si>
  <x:si>
    <x:t xml:space="preserve">BJU</x:t>
  </x:si>
  <x:si>
    <x:t xml:space="preserve">Bajura</x:t>
  </x:si>
  <x:si>
    <x:t xml:space="preserve">FEB</x:t>
  </x:si>
  <x:si>
    <x:t xml:space="preserve">Sanfebagar</x:t>
  </x:si>
  <x:si>
    <x:t xml:space="preserve">DAP</x:t>
  </x:si>
  <x:si>
    <x:t xml:space="preserve">Dadeldhura</x:t>
  </x:si>
  <x:si>
    <x:t xml:space="preserve">SIH</x:t>
  </x:si>
  <x:si>
    <x:t xml:space="preserve">Simikot</x:t>
  </x:si>
  <x:si>
    <x:t xml:space="preserve">TAL</x:t>
  </x:si>
  <x:si>
    <x:t xml:space="preserve">Talcha/Rara</x:t>
  </x:si>
  <x:si>
    <x:t xml:space="preserve">KTL</x:t>
  </x:si>
  <x:si>
    <x:t xml:space="preserve">Kalikot</x:t>
  </x:si>
  <x:si>
    <x:t xml:space="preserve">RUK</x:t>
  </x:si>
  <x:si>
    <x:t xml:space="preserve">Chaurjahari</x:t>
  </x:si>
  <x:si>
    <x:t xml:space="preserve">GKH</x:t>
  </x:si>
  <x:si>
    <x:t xml:space="preserve">Gorkha</x:t>
  </x:si>
  <x:si>
    <x:t xml:space="preserve">TNS</x:t>
  </x:si>
  <x:si>
    <x:t xml:space="preserve">Tansen</x:t>
  </x:si>
  <x:si>
    <x:t xml:space="preserve">BST</x:t>
  </x:si>
  <x:si>
    <x:t xml:space="preserve">Basantapur</x:t>
  </x:si>
  <x:si>
    <x:t xml:space="preserve">PHA</x:t>
  </x:si>
  <x:si>
    <x:t xml:space="preserve">Phidim</x:t>
  </x:si>
  <x:si>
    <x:t xml:space="preserve">BGH</x:t>
  </x:si>
  <x:si>
    <x:t xml:space="preserve">Baglung</x:t>
  </x:si>
  <x:si>
    <x:t xml:space="preserve">SYH</x:t>
  </x:si>
  <x:si>
    <x:t xml:space="preserve">Syangboche</x:t>
  </x:si>
  <x:si>
    <x:t xml:space="preserve">RUK2</x:t>
  </x:si>
  <x:si>
    <x:t xml:space="preserve">Rukumkot</x:t>
  </x:si>
  <x:si>
    <x:t xml:space="preserve">14 Helipads</x:t>
  </x:si>
  <x:si>
    <x:t xml:space="preserve">Sources: CAAN 2024; HeliHub; NDRRMA 2021.</x:t>
  </x:si>
  <x:si>
    <x:t xml:space="preserve">Helipad Name</x:t>
  </x:si>
  <x:si>
    <x:t xml:space="preserve">District / Notes</x:t>
  </x:si>
  <x:si>
    <x:t xml:space="preserve">Nalinchowk</x:t>
  </x:si>
  <x:si>
    <x:t xml:space="preserve">Bhaktapur — opened June 2024</x:t>
  </x:si>
  <x:si>
    <x:t xml:space="preserve">Thame</x:t>
  </x:si>
  <x:si>
    <x:t xml:space="preserve">Solukhumbu — EBC route</x:t>
  </x:si>
  <x:si>
    <x:t xml:space="preserve">Namche Bazar</x:t>
  </x:si>
  <x:si>
    <x:t xml:space="preserve">Solukhumbu — main Khumbu hub</x:t>
  </x:si>
  <x:si>
    <x:t xml:space="preserve">Pheriche</x:t>
  </x:si>
  <x:si>
    <x:t xml:space="preserve">Solukhumbu — altitude staging</x:t>
  </x:si>
  <x:si>
    <x:t xml:space="preserve">Dhunche</x:t>
  </x:si>
  <x:si>
    <x:t xml:space="preserve">Rasuwa — Langtang NP HQ</x:t>
  </x:si>
  <x:si>
    <x:t xml:space="preserve">Kyanjin Gompa</x:t>
  </x:si>
  <x:si>
    <x:t xml:space="preserve">Rasuwa — Langtang Valley</x:t>
  </x:si>
  <x:si>
    <x:t xml:space="preserve">Gosaikunda</x:t>
  </x:si>
  <x:si>
    <x:t xml:space="preserve">Rasuwa — pilgrimage</x:t>
  </x:si>
  <x:si>
    <x:t xml:space="preserve">Langtang Village</x:t>
  </x:si>
  <x:si>
    <x:t xml:space="preserve">Rasuwa — rebuilt post-2015</x:t>
  </x:si>
  <x:si>
    <x:t xml:space="preserve">Muktinath</x:t>
  </x:si>
  <x:si>
    <x:t xml:space="preserve">Mustang — pilgrimage</x:t>
  </x:si>
  <x:si>
    <x:t xml:space="preserve">Thorong Phedi</x:t>
  </x:si>
  <x:si>
    <x:t xml:space="preserve">Manang — Annapurna Circuit</x:t>
  </x:si>
  <x:si>
    <x:t xml:space="preserve">Annapurna BC</x:t>
  </x:si>
  <x:si>
    <x:t xml:space="preserve">Kaski — rescue point</x:t>
  </x:si>
  <x:si>
    <x:t xml:space="preserve">Ghermu</x:t>
  </x:si>
  <x:si>
    <x:t xml:space="preserve">Lamjung — lower Annapurna</x:t>
  </x:si>
  <x:si>
    <x:t xml:space="preserve">Shey Phoksundo</x:t>
  </x:si>
  <x:si>
    <x:t xml:space="preserve">Dolpa — remote</x:t>
  </x:si>
  <x:si>
    <x:t xml:space="preserve">Chisapani/Jumla</x:t>
  </x:si>
  <x:si>
    <x:t xml:space="preserve">Jumla district</x:t>
  </x:si>
  <x:si>
    <x:t xml:space="preserve">15 - District Population and GDP Inputs</x:t>
  </x:si>
  <x:si>
    <x:t xml:space="preserve">Seventy-seven district totals. Province, population and GDP are conserved across representative road-node allocation.</x:t>
  </x:si>
  <x:si>
    <x:t xml:space="preserve">District</x:t>
  </x:si>
  <x:si>
    <x:t xml:space="preserve">Province</x:t>
  </x:si>
  <x:si>
    <x:t xml:space="preserve">GDP per capita NPR</x:t>
  </x:si>
  <x:si>
    <x:t xml:space="preserve">Longitude</x:t>
  </x:si>
  <x:si>
    <x:t xml:space="preserve">Latitude</x:t>
  </x:si>
  <x:si>
    <x:t xml:space="preserve">OSM type</x:t>
  </x:si>
  <x:si>
    <x:t xml:space="preserve">OSM ID</x:t>
  </x:si>
  <x:si>
    <x:t xml:space="preserve">OSM display name</x:t>
  </x:si>
  <x:si>
    <x:t xml:space="preserve">Source URL</x:t>
  </x:si>
  <x:si>
    <x:t xml:space="preserve">Achham</x:t>
  </x:si>
  <x:si>
    <x:t xml:space="preserve">Sudurpashchim</x:t>
  </x:si>
  <x:si>
    <x:t xml:space="preserve">relation</x:t>
  </x:si>
  <x:si>
    <x:t xml:space="preserve">अछाम, सुदूरपश्चिम प्रदेश, 10709, नेपाल</x:t>
  </x:si>
  <x:si>
    <x:t xml:space="preserve">https://www.openstreetmap.org/relation/4586285</x:t>
  </x:si>
  <x:si>
    <x:t xml:space="preserve">Arghakhanchi</x:t>
  </x:si>
  <x:si>
    <x:t xml:space="preserve">Lumbini</x:t>
  </x:si>
  <x:si>
    <x:t xml:space="preserve">अर्घाखाँची, लुम्बिनी प्रदेश, 32700, नेपाल</x:t>
  </x:si>
  <x:si>
    <x:t xml:space="preserve">https://www.openstreetmap.org/relation/4589557</x:t>
  </x:si>
  <x:si>
    <x:t xml:space="preserve">Gandaki</x:t>
  </x:si>
  <x:si>
    <x:t xml:space="preserve">बागलुङ, गण्डकी प्रदेश, नेपाल</x:t>
  </x:si>
  <x:si>
    <x:t xml:space="preserve">https://www.openstreetmap.org/relation/4588144</x:t>
  </x:si>
  <x:si>
    <x:t xml:space="preserve">Baitadi</x:t>
  </x:si>
  <x:si>
    <x:t xml:space="preserve">बैतडी, सुदूरपश्चिम प्रदेश, नेपाल</x:t>
  </x:si>
  <x:si>
    <x:t xml:space="preserve">https://www.openstreetmap.org/relation/4586293</x:t>
  </x:si>
  <x:si>
    <x:t xml:space="preserve">बझाङ, सुदूरपश्चिम प्रदेश, 10506, नेपाल</x:t>
  </x:si>
  <x:si>
    <x:t xml:space="preserve">https://www.openstreetmap.org/relation/4586291</x:t>
  </x:si>
  <x:si>
    <x:t xml:space="preserve">बाजुरा, सुदूरपश्चिम प्रदेश, 10600, नेपाल</x:t>
  </x:si>
  <x:si>
    <x:t xml:space="preserve">https://www.openstreetmap.org/relation/4586292</x:t>
  </x:si>
  <x:si>
    <x:t xml:space="preserve">Banke</x:t>
  </x:si>
  <x:si>
    <x:t xml:space="preserve">बाँके, लुम्बिनी प्रदेश, नेपाल</x:t>
  </x:si>
  <x:si>
    <x:t xml:space="preserve">https://www.openstreetmap.org/relation/4586364</x:t>
  </x:si>
  <x:si>
    <x:t xml:space="preserve">Bara</x:t>
  </x:si>
  <x:si>
    <x:t xml:space="preserve">Madhesh</x:t>
  </x:si>
  <x:si>
    <x:t xml:space="preserve">बारा जिल्ला, मधेश प्रदेश, नेपाल</x:t>
  </x:si>
  <x:si>
    <x:t xml:space="preserve">https://www.openstreetmap.org/relation/4589414</x:t>
  </x:si>
  <x:si>
    <x:t xml:space="preserve">Bardiya</x:t>
  </x:si>
  <x:si>
    <x:t xml:space="preserve">बर्दिया, लुम्बिनी प्रदेश, नेपाल</x:t>
  </x:si>
  <x:si>
    <x:t xml:space="preserve">https://www.openstreetmap.org/relation/4586363</x:t>
  </x:si>
  <x:si>
    <x:t xml:space="preserve">Bhaktapur</x:t>
  </x:si>
  <x:si>
    <x:t xml:space="preserve">Bagmati</x:t>
  </x:si>
  <x:si>
    <x:t xml:space="preserve">भक्तपुर जिल्ला, बागमती प्रदेश, नेपाल</x:t>
  </x:si>
  <x:si>
    <x:t xml:space="preserve">https://www.openstreetmap.org/relation/4583251</x:t>
  </x:si>
  <x:si>
    <x:t xml:space="preserve">Koshi</x:t>
  </x:si>
  <x:si>
    <x:t xml:space="preserve">भोजपुर जिल्ला, कोशी प्रदेश, नेपाल</x:t>
  </x:si>
  <x:si>
    <x:t xml:space="preserve">https://www.openstreetmap.org/relation/4589467</x:t>
  </x:si>
  <x:si>
    <x:t xml:space="preserve">Chitwan</x:t>
  </x:si>
  <x:si>
    <x:t xml:space="preserve">चितवन जिल्ला, बागमती प्रदेश, नेपाल</x:t>
  </x:si>
  <x:si>
    <x:t xml:space="preserve">https://www.openstreetmap.org/relation/4589410</x:t>
  </x:si>
  <x:si>
    <x:t xml:space="preserve">डडेलधुरा, सुदूरपश्चिम प्रदेश, 10300, नेपाल</x:t>
  </x:si>
  <x:si>
    <x:t xml:space="preserve">https://www.openstreetmap.org/relation/4586288</x:t>
  </x:si>
  <x:si>
    <x:t xml:space="preserve">Dailekh</x:t>
  </x:si>
  <x:si>
    <x:t xml:space="preserve">Karnali</x:t>
  </x:si>
  <x:si>
    <x:t xml:space="preserve">दैलेख, कर्णाली प्रदेश, नेपाल</x:t>
  </x:si>
  <x:si>
    <x:t xml:space="preserve">https://www.openstreetmap.org/relation/12228031</x:t>
  </x:si>
  <x:si>
    <x:t xml:space="preserve">Darchula</x:t>
  </x:si>
  <x:si>
    <x:t xml:space="preserve">दार्चुला, सुदूरपश्चिम प्रदेश, नेपाल</x:t>
  </x:si>
  <x:si>
    <x:t xml:space="preserve">https://www.openstreetmap.org/relation/4586290</x:t>
  </x:si>
  <x:si>
    <x:t xml:space="preserve">Dhading</x:t>
  </x:si>
  <x:si>
    <x:t xml:space="preserve">धादिङ जिल्ला, बागमती प्रदेश, नेपाल</x:t>
  </x:si>
  <x:si>
    <x:t xml:space="preserve">https://www.openstreetmap.org/relation/4583249</x:t>
  </x:si>
  <x:si>
    <x:t xml:space="preserve">Dhankuta</x:t>
  </x:si>
  <x:si>
    <x:t xml:space="preserve">धनकुटा जिल्ला, कोशी प्रदेश, 56800, नेपाल</x:t>
  </x:si>
  <x:si>
    <x:t xml:space="preserve">https://www.openstreetmap.org/relation/4589466</x:t>
  </x:si>
  <x:si>
    <x:t xml:space="preserve">Dolakha</x:t>
  </x:si>
  <x:si>
    <x:t xml:space="preserve">दोलखा जिल्ला, बागमती प्रदेश, नेपाल</x:t>
  </x:si>
  <x:si>
    <x:t xml:space="preserve">https://www.openstreetmap.org/relation/4589411</x:t>
  </x:si>
  <x:si>
    <x:t xml:space="preserve">Dolpa</x:t>
  </x:si>
  <x:si>
    <x:t xml:space="preserve">डोल्पा, कर्णाली प्रदेश, नेपाल</x:t>
  </x:si>
  <x:si>
    <x:t xml:space="preserve">https://www.openstreetmap.org/relation/4586359</x:t>
  </x:si>
  <x:si>
    <x:t xml:space="preserve">Doti</x:t>
  </x:si>
  <x:si>
    <x:t xml:space="preserve">डोटी, सुदूरपश्चिम प्रदेश, नेपाल</x:t>
  </x:si>
  <x:si>
    <x:t xml:space="preserve">https://www.openstreetmap.org/relation/4586289</x:t>
  </x:si>
  <x:si>
    <x:t xml:space="preserve">Dang Deukhuri</x:t>
  </x:si>
  <x:si>
    <x:t xml:space="preserve">दाङ, लुम्बिनी प्रदेश, नेपाल</x:t>
  </x:si>
  <x:si>
    <x:t xml:space="preserve">https://www.openstreetmap.org/relation/4586360</x:t>
  </x:si>
  <x:si>
    <x:t xml:space="preserve">Dhanusa</x:t>
  </x:si>
  <x:si>
    <x:t xml:space="preserve">धनुषा जिल्ला, मधेश प्रदेश, नेपाल</x:t>
  </x:si>
  <x:si>
    <x:t xml:space="preserve">https://www.openstreetmap.org/relation/4589412</x:t>
  </x:si>
  <x:si>
    <x:t xml:space="preserve">East Rukum</x:t>
  </x:si>
  <x:si>
    <x:t xml:space="preserve">पूर्वी रुकुम, लुम्बिनी प्रदेश, नेपाल</x:t>
  </x:si>
  <x:si>
    <x:t xml:space="preserve">https://www.openstreetmap.org/relation/10624408</x:t>
  </x:si>
  <x:si>
    <x:t xml:space="preserve">गोरखा, गण्डकी प्रदेश, नेपाल</x:t>
  </x:si>
  <x:si>
    <x:t xml:space="preserve">https://www.openstreetmap.org/relation/4588150</x:t>
  </x:si>
  <x:si>
    <x:t xml:space="preserve">Gulmi</x:t>
  </x:si>
  <x:si>
    <x:t xml:space="preserve">गुल्मी, लुम्बिनी प्रदेश, नेपाल</x:t>
  </x:si>
  <x:si>
    <x:t xml:space="preserve">https://www.openstreetmap.org/relation/4589559</x:t>
  </x:si>
  <x:si>
    <x:t xml:space="preserve">Humla</x:t>
  </x:si>
  <x:si>
    <x:t xml:space="preserve">हुम्ला, कर्णाली प्रदेश, नेपाल</x:t>
  </x:si>
  <x:si>
    <x:t xml:space="preserve">https://www.openstreetmap.org/relation/4586370</x:t>
  </x:si>
  <x:si>
    <x:t xml:space="preserve">Ilam</x:t>
  </x:si>
  <x:si>
    <x:t xml:space="preserve">इलाम जिल्ला, कोशी प्रदेश, नेपाल</x:t>
  </x:si>
  <x:si>
    <x:t xml:space="preserve">https://www.openstreetmap.org/relation/4589476</x:t>
  </x:si>
  <x:si>
    <x:t xml:space="preserve">Jajarkot</x:t>
  </x:si>
  <x:si>
    <x:t xml:space="preserve">जाजरकोट, कर्णाली प्रदेश, 21500, नेपाल</x:t>
  </x:si>
  <x:si>
    <x:t xml:space="preserve">https://www.openstreetmap.org/relation/4586357</x:t>
  </x:si>
  <x:si>
    <x:t xml:space="preserve">Jhapa</x:t>
  </x:si>
  <x:si>
    <x:t xml:space="preserve">झापा जिल्ला, कोशी प्रदेश, नेपाल</x:t>
  </x:si>
  <x:si>
    <x:t xml:space="preserve">https://www.openstreetmap.org/relation/7522458</x:t>
  </x:si>
  <x:si>
    <x:t xml:space="preserve">Jumla, कर्णाली प्रदेश, 21200, नेपाल</x:t>
  </x:si>
  <x:si>
    <x:t xml:space="preserve">https://www.openstreetmap.org/relation/15588737</x:t>
  </x:si>
  <x:si>
    <x:t xml:space="preserve">Kailali</x:t>
  </x:si>
  <x:si>
    <x:t xml:space="preserve">कैलाली, सुदूरपश्चिम प्रदेश, नेपाल</x:t>
  </x:si>
  <x:si>
    <x:t xml:space="preserve">https://www.openstreetmap.org/relation/4586287</x:t>
  </x:si>
  <x:si>
    <x:t xml:space="preserve">कालीकोट, कर्णाली प्रदेश, 21300, नेपाल</x:t>
  </x:si>
  <x:si>
    <x:t xml:space="preserve">https://www.openstreetmap.org/relation/4586361</x:t>
  </x:si>
  <x:si>
    <x:t xml:space="preserve">Kanchanpur [Dodhara Chandani]</x:t>
  </x:si>
  <x:si>
    <x:t xml:space="preserve">कञ्चनपुर जिल्ला, सुदूरपश्चिम प्रदेश, नेपाल</x:t>
  </x:si>
  <x:si>
    <x:t xml:space="preserve">https://www.openstreetmap.org/relation/4586286</x:t>
  </x:si>
  <x:si>
    <x:t xml:space="preserve">Kapilvastu</x:t>
  </x:si>
  <x:si>
    <x:t xml:space="preserve">कपिलवस्तु, लुम्बिनी प्रदेश, नेपाल</x:t>
  </x:si>
  <x:si>
    <x:t xml:space="preserve">https://www.openstreetmap.org/relation/4589558</x:t>
  </x:si>
  <x:si>
    <x:t xml:space="preserve">Kaski</x:t>
  </x:si>
  <x:si>
    <x:t xml:space="preserve">कास्की, गण्डकी प्रदेश, नेपाल</x:t>
  </x:si>
  <x:si>
    <x:t xml:space="preserve">https://www.openstreetmap.org/relation/4588149</x:t>
  </x:si>
  <x:si>
    <x:t xml:space="preserve">Kathmandu</x:t>
  </x:si>
  <x:si>
    <x:t xml:space="preserve">काठमाडौँ महानगरपालिका, काठमाडौं जिल्ला, बागमती प्रदेश, नेपाल</x:t>
  </x:si>
  <x:si>
    <x:t xml:space="preserve">https://www.openstreetmap.org/relation/12394677</x:t>
  </x:si>
  <x:si>
    <x:t xml:space="preserve">Kavrepalanchok</x:t>
  </x:si>
  <x:si>
    <x:t xml:space="preserve">काभ्रेपलाञ्चोक जिल्ला, बागमती प्रदेश, नेपाल</x:t>
  </x:si>
  <x:si>
    <x:t xml:space="preserve">https://www.openstreetmap.org/relation/4583248</x:t>
  </x:si>
  <x:si>
    <x:t xml:space="preserve">Khotang</x:t>
  </x:si>
  <x:si>
    <x:t xml:space="preserve">खोटाङ जिल्ला, कोशी प्रदेश, नेपाल</x:t>
  </x:si>
  <x:si>
    <x:t xml:space="preserve">https://www.openstreetmap.org/relation/4589464</x:t>
  </x:si>
  <x:si>
    <x:t xml:space="preserve">Lalitpur</x:t>
  </x:si>
  <x:si>
    <x:t xml:space="preserve">ललितपुर जिल्ला, बागमती प्रदेश, नेपाल</x:t>
  </x:si>
  <x:si>
    <x:t xml:space="preserve">https://www.openstreetmap.org/relation/4583253</x:t>
  </x:si>
  <x:si>
    <x:t xml:space="preserve">Lamjung</x:t>
  </x:si>
  <x:si>
    <x:t xml:space="preserve">लमजुङ, गण्डकी प्रदेश, नेपाल</x:t>
  </x:si>
  <x:si>
    <x:t xml:space="preserve">https://www.openstreetmap.org/relation/4588153</x:t>
  </x:si>
  <x:si>
    <x:t xml:space="preserve">Mahottari</x:t>
  </x:si>
  <x:si>
    <x:t xml:space="preserve">महोत्तरी जिल्ला, मधेश प्रदेश, नेपाल</x:t>
  </x:si>
  <x:si>
    <x:t xml:space="preserve">https://www.openstreetmap.org/relation/4589416</x:t>
  </x:si>
  <x:si>
    <x:t xml:space="preserve">Makwanpur</x:t>
  </x:si>
  <x:si>
    <x:t xml:space="preserve">मकवानपुर जिल्ला, बागमती प्रदेश, नेपाल</x:t>
  </x:si>
  <x:si>
    <x:t xml:space="preserve">https://www.openstreetmap.org/relation/4589415</x:t>
  </x:si>
  <x:si>
    <x:t xml:space="preserve">मनाङ, गण्डकी प्रदेश, 33500, नेपाल</x:t>
  </x:si>
  <x:si>
    <x:t xml:space="preserve">https://www.openstreetmap.org/relation/4588152</x:t>
  </x:si>
  <x:si>
    <x:t xml:space="preserve">Morang</x:t>
  </x:si>
  <x:si>
    <x:t xml:space="preserve">मोरङ जिल्ला, कोशी प्रदेश, नेपाल</x:t>
  </x:si>
  <x:si>
    <x:t xml:space="preserve">https://www.openstreetmap.org/relation/4589468</x:t>
  </x:si>
  <x:si>
    <x:t xml:space="preserve">Mugu</x:t>
  </x:si>
  <x:si>
    <x:t xml:space="preserve">मुगु, कर्णाली प्रदेश, 21100, नेपाल</x:t>
  </x:si>
  <x:si>
    <x:t xml:space="preserve">https://www.openstreetmap.org/relation/4586365</x:t>
  </x:si>
  <x:si>
    <x:t xml:space="preserve">Mustang</x:t>
  </x:si>
  <x:si>
    <x:t xml:space="preserve">मुस्ताङ, गण्डकी प्रदेश, 33100, नेपाल</x:t>
  </x:si>
  <x:si>
    <x:t xml:space="preserve">https://www.openstreetmap.org/relation/4588145</x:t>
  </x:si>
  <x:si>
    <x:t xml:space="preserve">Myagdi</x:t>
  </x:si>
  <x:si>
    <x:t xml:space="preserve">म्याग्दी, गण्डकी प्रदेश, 33208, नेपाल</x:t>
  </x:si>
  <x:si>
    <x:t xml:space="preserve">https://www.openstreetmap.org/relation/4588146</x:t>
  </x:si>
  <x:si>
    <x:t xml:space="preserve">Nawalpur [Nawalparasi East]</x:t>
  </x:si>
  <x:si>
    <x:t xml:space="preserve">Nawalpur District, गण्डकी प्रदेश, नेपाल</x:t>
  </x:si>
  <x:si>
    <x:t xml:space="preserve">https://www.openstreetmap.org/relation/10489606</x:t>
  </x:si>
  <x:si>
    <x:t xml:space="preserve">Nuwakot</x:t>
  </x:si>
  <x:si>
    <x:t xml:space="preserve">नुवाकोट जिल्ला, बागमती प्रदेश, नेपाल</x:t>
  </x:si>
  <x:si>
    <x:t xml:space="preserve">https://www.openstreetmap.org/relation/4583250</x:t>
  </x:si>
  <x:si>
    <x:t xml:space="preserve">Okhaldhunga</x:t>
  </x:si>
  <x:si>
    <x:t xml:space="preserve">ओखलढुङ्गा जिल्ला, कोशी प्रदेश, 56010, नेपाल</x:t>
  </x:si>
  <x:si>
    <x:t xml:space="preserve">https://www.openstreetmap.org/relation/4589463</x:t>
  </x:si>
  <x:si>
    <x:t xml:space="preserve">Palpa</x:t>
  </x:si>
  <x:si>
    <x:t xml:space="preserve">पाल्पा, लुम्बिनी प्रदेश, नेपाल</x:t>
  </x:si>
  <x:si>
    <x:t xml:space="preserve">https://www.openstreetmap.org/relation/4589561</x:t>
  </x:si>
  <x:si>
    <x:t xml:space="preserve">Panchthar</x:t>
  </x:si>
  <x:si>
    <x:t xml:space="preserve">पाँचथर जिल्ला, कोशी प्रदेश, 57408, नेपाल</x:t>
  </x:si>
  <x:si>
    <x:t xml:space="preserve">https://www.openstreetmap.org/relation/4589479</x:t>
  </x:si>
  <x:si>
    <x:t xml:space="preserve">Parasi [Nawalparasi West]</x:t>
  </x:si>
  <x:si>
    <x:t xml:space="preserve">Nawalparasi W, लुम्बिनी प्रदेश, नेपाल</x:t>
  </x:si>
  <x:si>
    <x:t xml:space="preserve">https://www.openstreetmap.org/relation/4589560</x:t>
  </x:si>
  <x:si>
    <x:t xml:space="preserve">Parbat</x:t>
  </x:si>
  <x:si>
    <x:t xml:space="preserve">पर्वत, गण्डकी प्रदेश, नेपाल</x:t>
  </x:si>
  <x:si>
    <x:t xml:space="preserve">https://www.openstreetmap.org/relation/4588143</x:t>
  </x:si>
  <x:si>
    <x:t xml:space="preserve">Parsa</x:t>
  </x:si>
  <x:si>
    <x:t xml:space="preserve">पर्सा जिल्ला, मधेश प्रदेश, नेपाल</x:t>
  </x:si>
  <x:si>
    <x:t xml:space="preserve">https://www.openstreetmap.org/relation/4589413</x:t>
  </x:si>
  <x:si>
    <x:t xml:space="preserve">Pyuthan</x:t>
  </x:si>
  <x:si>
    <x:t xml:space="preserve">प्युठान, लुम्बिनी प्रदेश, नेपाल</x:t>
  </x:si>
  <x:si>
    <x:t xml:space="preserve">https://www.openstreetmap.org/relation/4586362</x:t>
  </x:si>
  <x:si>
    <x:t xml:space="preserve">Ramechhap</x:t>
  </x:si>
  <x:si>
    <x:t xml:space="preserve">रामेछाप जिल्ला, बागमती प्रदेश, 45400, नेपाल</x:t>
  </x:si>
  <x:si>
    <x:t xml:space="preserve">https://www.openstreetmap.org/relation/4589417</x:t>
  </x:si>
  <x:si>
    <x:t xml:space="preserve">Rasuwa</x:t>
  </x:si>
  <x:si>
    <x:t xml:space="preserve">रसुवा जिल्ला, बागमती प्रदेश, 45003, नेपाल</x:t>
  </x:si>
  <x:si>
    <x:t xml:space="preserve">https://www.openstreetmap.org/relation/4583252</x:t>
  </x:si>
  <x:si>
    <x:t xml:space="preserve">Rautahat</x:t>
  </x:si>
  <x:si>
    <x:t xml:space="preserve">रौतहट जिल्ला, मधेश प्रदेश, 44515, नेपाल</x:t>
  </x:si>
  <x:si>
    <x:t xml:space="preserve">https://www.openstreetmap.org/relation/4589418</x:t>
  </x:si>
  <x:si>
    <x:t xml:space="preserve">Rolpa</x:t>
  </x:si>
  <x:si>
    <x:t xml:space="preserve">रोल्पा, लुम्बिनी प्रदेश, नेपाल</x:t>
  </x:si>
  <x:si>
    <x:t xml:space="preserve">https://www.openstreetmap.org/relation/10507521</x:t>
  </x:si>
  <x:si>
    <x:t xml:space="preserve">Rupandehi</x:t>
  </x:si>
  <x:si>
    <x:t xml:space="preserve">रुपन्देही, लुम्बिनी प्रदेश, नेपाल</x:t>
  </x:si>
  <x:si>
    <x:t xml:space="preserve">https://www.openstreetmap.org/relation/4586049</x:t>
  </x:si>
  <x:si>
    <x:t xml:space="preserve">Salyan</x:t>
  </x:si>
  <x:si>
    <x:t xml:space="preserve">सल्यान, कर्णाली प्रदेश, 22202, नेपाल</x:t>
  </x:si>
  <x:si>
    <x:t xml:space="preserve">https://www.openstreetmap.org/relation/4586368</x:t>
  </x:si>
  <x:si>
    <x:t xml:space="preserve">Sankhuwasabha</x:t>
  </x:si>
  <x:si>
    <x:t xml:space="preserve">सङ्खुवासभा जिल्ला, कोशी प्रदेश, 56900, नेपाल</x:t>
  </x:si>
  <x:si>
    <x:t xml:space="preserve">https://www.openstreetmap.org/relation/4589469</x:t>
  </x:si>
  <x:si>
    <x:t xml:space="preserve">Saptari</x:t>
  </x:si>
  <x:si>
    <x:t xml:space="preserve">सप्तरी जिल्ला, मधेश प्रदेश, नेपाल</x:t>
  </x:si>
  <x:si>
    <x:t xml:space="preserve">https://www.openstreetmap.org/relation/4589470</x:t>
  </x:si>
  <x:si>
    <x:t xml:space="preserve">Sarlahi</x:t>
  </x:si>
  <x:si>
    <x:t xml:space="preserve">सर्लाही जिल्ला, मधेश प्रदेश, नेपाल</x:t>
  </x:si>
  <x:si>
    <x:t xml:space="preserve">https://www.openstreetmap.org/relation/4589419</x:t>
  </x:si>
  <x:si>
    <x:t xml:space="preserve">Sindhuli</x:t>
  </x:si>
  <x:si>
    <x:t xml:space="preserve">सिन्धुली जिल्ला, बागमती प्रदेश, नेपाल</x:t>
  </x:si>
  <x:si>
    <x:t xml:space="preserve">https://www.openstreetmap.org/relation/4589420</x:t>
  </x:si>
  <x:si>
    <x:t xml:space="preserve">Sindhupalchowk</x:t>
  </x:si>
  <x:si>
    <x:t xml:space="preserve">सिन्धुपाल्चोक जिल्ला, बागमती प्रदेश, नेपाल</x:t>
  </x:si>
  <x:si>
    <x:t xml:space="preserve">https://www.openstreetmap.org/relation/4583254</x:t>
  </x:si>
  <x:si>
    <x:t xml:space="preserve">Siraha</x:t>
  </x:si>
  <x:si>
    <x:t xml:space="preserve">सिराहा जिल्ला, मधेश प्रदेश, नेपाल</x:t>
  </x:si>
  <x:si>
    <x:t xml:space="preserve">https://www.openstreetmap.org/relation/4589471</x:t>
  </x:si>
  <x:si>
    <x:t xml:space="preserve">Solukhumbu</x:t>
  </x:si>
  <x:si>
    <x:t xml:space="preserve">सोलुखुम्बु जिल्ला, कोशी प्रदेश, नेपाल</x:t>
  </x:si>
  <x:si>
    <x:t xml:space="preserve">https://www.openstreetmap.org/relation/4589473</x:t>
  </x:si>
  <x:si>
    <x:t xml:space="preserve">Sunsari</x:t>
  </x:si>
  <x:si>
    <x:t xml:space="preserve">सुनसरी जिल्ला, कोशी प्रदेश, नेपाल</x:t>
  </x:si>
  <x:si>
    <x:t xml:space="preserve">https://www.openstreetmap.org/relation/4589472</x:t>
  </x:si>
  <x:si>
    <x:t xml:space="preserve">सुर्खेत, कर्णाली प्रदेश, 21700, नेपाल</x:t>
  </x:si>
  <x:si>
    <x:t xml:space="preserve">https://www.openstreetmap.org/relation/4586369</x:t>
  </x:si>
  <x:si>
    <x:t xml:space="preserve">Syangja</x:t>
  </x:si>
  <x:si>
    <x:t xml:space="preserve">स्याङ्जा, गण्डकी प्रदेश, नेपाल</x:t>
  </x:si>
  <x:si>
    <x:t xml:space="preserve">https://www.openstreetmap.org/relation/5691338</x:t>
  </x:si>
  <x:si>
    <x:t xml:space="preserve">Tanahun</x:t>
  </x:si>
  <x:si>
    <x:t xml:space="preserve">तनहुँ, गण्डकी प्रदेश, नेपाल</x:t>
  </x:si>
  <x:si>
    <x:t xml:space="preserve">https://www.openstreetmap.org/relation/4588151</x:t>
  </x:si>
  <x:si>
    <x:t xml:space="preserve">ताप्लेजुङ जिल्ला, कोशी प्रदेश, 57500, नेपाल</x:t>
  </x:si>
  <x:si>
    <x:t xml:space="preserve">https://www.openstreetmap.org/relation/4589478</x:t>
  </x:si>
  <x:si>
    <x:t xml:space="preserve">Tehrathum</x:t>
  </x:si>
  <x:si>
    <x:t xml:space="preserve">तेह्रथुम जिल्ला, कोशी प्रदेश, नेपाल</x:t>
  </x:si>
  <x:si>
    <x:t xml:space="preserve">https://www.openstreetmap.org/relation/4589465</x:t>
  </x:si>
  <x:si>
    <x:t xml:space="preserve">Udayapur</x:t>
  </x:si>
  <x:si>
    <x:t xml:space="preserve">उदयपुर जिल्ला, कोशी प्रदेश, 56300, नेपाल</x:t>
  </x:si>
  <x:si>
    <x:t xml:space="preserve">https://www.openstreetmap.org/relation/4589462</x:t>
  </x:si>
  <x:si>
    <x:t xml:space="preserve">West Rukum</x:t>
  </x:si>
  <x:si>
    <x:t xml:space="preserve">पश्चिमी रुकुम, कर्णाली प्रदेश, 22000, नेपाल</x:t>
  </x:si>
  <x:si>
    <x:t xml:space="preserve">https://www.openstreetmap.org/relation/10493724</x:t>
  </x:si>
  <x:si>
    <x:t xml:space="preserve">place_order</x:t>
  </x:si>
  <x:si>
    <x:t xml:space="preserve">place_name</x:t>
  </x:si>
  <x:si>
    <x:t xml:space="preserve">longitude</x:t>
  </x:si>
  <x:si>
    <x:t xml:space="preserve">latitude</x:t>
  </x:si>
  <x:si>
    <x:t xml:space="preserve">population_activity</x:t>
  </x:si>
  <x:si>
    <x:t xml:space="preserve">population_source</x:t>
  </x:si>
  <x:si>
    <x:t xml:space="preserve">osm_type</x:t>
  </x:si>
  <x:si>
    <x:t xml:space="preserve">osm_id</x:t>
  </x:si>
  <x:si>
    <x:t xml:space="preserve">osm_category</x:t>
  </x:si>
  <x:si>
    <x:t xml:space="preserve">osm_feature_type</x:t>
  </x:si>
  <x:si>
    <x:t xml:space="preserve">osm_query</x:t>
  </x:si>
  <x:si>
    <x:t xml:space="preserve">osm_display_name</x:t>
  </x:si>
  <x:si>
    <x:t xml:space="preserve">include</x:t>
  </x:si>
  <x:si>
    <x:t xml:space="preserve">node</x:t>
  </x:si>
  <x:si>
    <x:t xml:space="preserve">place</x:t>
  </x:si>
  <x:si>
    <x:t xml:space="preserve">city</x:t>
  </x:si>
  <x:si>
    <x:t xml:space="preserve">Dhangadhi, Nepal</x:t>
  </x:si>
  <x:si>
    <x:t xml:space="preserve">धनगढी, Dhangadhi, कैलाली, सुदूरपश्चिम प्रदेश, नेपाल</x:t>
  </x:si>
  <x:si>
    <x:t xml:space="preserve">town</x:t>
  </x:si>
  <x:si>
    <x:t xml:space="preserve">Amargadhi, Dadeldhura, Nepal</x:t>
  </x:si>
  <x:si>
    <x:t xml:space="preserve">Amargadhi, डडेलधुरा, सुदूरपश्चिम प्रदेश, 10300, नेपाल</x:t>
  </x:si>
  <x:si>
    <x:t xml:space="preserve">Nepalgunj city Nepal</x:t>
  </x:si>
  <x:si>
    <x:t xml:space="preserve">नेपालगञ्ज, NSMC-24 | Khas Karkando, बाँके, लुम्बिनी प्रदेश, 27900, नेपाल</x:t>
  </x:si>
  <x:si>
    <x:t xml:space="preserve">Chandannath Jumla Nepal</x:t>
  </x:si>
  <x:si>
    <x:t xml:space="preserve">चन्दननाथ, Chandannath, Jumla, कर्णाली प्रदेश, 21200, नेपाल</x:t>
  </x:si>
  <x:si>
    <x:t xml:space="preserve">Manma, Kalikot, Nepal</x:t>
  </x:si>
  <x:si>
    <x:t xml:space="preserve">Manma, Khandachakra, कालीकोट, कर्णाली प्रदेश, 21300, नेपाल</x:t>
  </x:si>
  <x:si>
    <x:t xml:space="preserve">Butwal</x:t>
  </x:si>
  <x:si>
    <x:t xml:space="preserve">Butwal, Nepal</x:t>
  </x:si>
  <x:si>
    <x:t xml:space="preserve">बुटवल, रुपन्देही, लुम्बिनी प्रदेश, 32907, नेपाल</x:t>
  </x:si>
  <x:si>
    <x:t xml:space="preserve">way</x:t>
  </x:si>
  <x:si>
    <x:t xml:space="preserve">landuse</x:t>
  </x:si>
  <x:si>
    <x:t xml:space="preserve">residential</x:t>
  </x:si>
  <x:si>
    <x:t xml:space="preserve">Bhairahawa, Nepal</x:t>
  </x:si>
  <x:si>
    <x:t xml:space="preserve">भैरहवा, Siddharthanagar-07, सिद्धार्थनगर, Siddharthanagar, रुपन्देही, लुम्बिनी प्रदेश, नेपाल</x:t>
  </x:si>
  <x:si>
    <x:t xml:space="preserve">Tansen, Nepal</x:t>
  </x:si>
  <x:si>
    <x:t xml:space="preserve">Tansen, पाल्पा, लुम्बिनी प्रदेश, 22400, नेपाल</x:t>
  </x:si>
  <x:si>
    <x:t xml:space="preserve">Pokhara</x:t>
  </x:si>
  <x:si>
    <x:t xml:space="preserve">boundary</x:t>
  </x:si>
  <x:si>
    <x:t xml:space="preserve">administrative</x:t>
  </x:si>
  <x:si>
    <x:t xml:space="preserve">Pokhara, Nepal</x:t>
  </x:si>
  <x:si>
    <x:t xml:space="preserve">Pokhara, कास्की, गण्डकी प्रदेश, नेपाल</x:t>
  </x:si>
  <x:si>
    <x:t xml:space="preserve">Putalibazar, Syangja, Nepal</x:t>
  </x:si>
  <x:si>
    <x:t xml:space="preserve">Putalibazar, स्याङ्जा, गण्डकी प्रदेश, 33800, नेपाल</x:t>
  </x:si>
  <x:si>
    <x:t xml:space="preserve">Gorkha, Nepal</x:t>
  </x:si>
  <x:si>
    <x:t xml:space="preserve">Mugling</x:t>
  </x:si>
  <x:si>
    <x:t xml:space="preserve">amenity</x:t>
  </x:si>
  <x:si>
    <x:t xml:space="preserve">fast_food</x:t>
  </x:si>
  <x:si>
    <x:t xml:space="preserve">Mugling, Nepal</x:t>
  </x:si>
  <x:si>
    <x:t xml:space="preserve">Mugling, Prithvi Highway, Aanbu Khaireni-04, Aanbu Khaireni, तनहुँ, गण्डकी प्रदेश, 44206, नेपाल</x:t>
  </x:si>
  <x:si>
    <x:t xml:space="preserve">Bharatpur, Nepal</x:t>
  </x:si>
  <x:si>
    <x:t xml:space="preserve">भरतपुर, भरतपुर महानगरपालिका, चितवन जिल्ला, बागमती प्रदेश, 44207, नेपाल</x:t>
  </x:si>
  <x:si>
    <x:t xml:space="preserve">Hetauda</x:t>
  </x:si>
  <x:si>
    <x:t xml:space="preserve">Hetauda, Nepal</x:t>
  </x:si>
  <x:si>
    <x:t xml:space="preserve">हेटौँडा, हेटौँडा उपमहानगरपालिका, मकवानपुर जिल्ला, बागमती प्रदेश, 44107, नेपाल</x:t>
  </x:si>
  <x:si>
    <x:t xml:space="preserve">Birgunj, Nepal</x:t>
  </x:si>
  <x:si>
    <x:t xml:space="preserve">वीरगञ्ज, बीरगन्ज महानगरपालिका, पर्सा जिल्ला, मधेश प्रदेश, 44300, नेपाल</x:t>
  </x:si>
  <x:si>
    <x:t xml:space="preserve">Jitpur Simara Nepal</x:t>
  </x:si>
  <x:si>
    <x:t xml:space="preserve">जीतपुरसिमरा, जीतपुरसिमरा उपमहानगरपालिका, बारा जिल्ला, मधेश प्रदेश, 44417, नेपाल</x:t>
  </x:si>
  <x:si>
    <x:t xml:space="preserve">Lalbandi</x:t>
  </x:si>
  <x:si>
    <x:t xml:space="preserve">Lalbandi, Nepal</x:t>
  </x:si>
  <x:si>
    <x:t xml:space="preserve">लालबन्दी, लालबन्दी नगरपालिका, सर्लाही जिल्ला, मधेश प्रदेश, नेपाल</x:t>
  </x:si>
  <x:si>
    <x:t xml:space="preserve">Bardibas</x:t>
  </x:si>
  <x:si>
    <x:t xml:space="preserve">Bardibas, Nepal</x:t>
  </x:si>
  <x:si>
    <x:t xml:space="preserve">बर्दिबास, बर्दिबास नगरपालिका, महोत्तरी जिल्ला, मधेश प्रदेश, नेपाल</x:t>
  </x:si>
  <x:si>
    <x:t xml:space="preserve">Naubise</x:t>
  </x:si>
  <x:si>
    <x:t xml:space="preserve">suburb</x:t>
  </x:si>
  <x:si>
    <x:t xml:space="preserve">Naubise, Dhunibesi, Nepal</x:t>
  </x:si>
  <x:si>
    <x:t xml:space="preserve">नौबिसे, Dhunibesi-07, धुनिवेशी, धुनिवेशी नगरपालिका, धादिङ जिल्ला, बागमती प्रदेश, नेपाल</x:t>
  </x:si>
  <x:si>
    <x:t xml:space="preserve">Kathmandu, Nepal</x:t>
  </x:si>
  <x:si>
    <x:t xml:space="preserve">Dhulikhel</x:t>
  </x:si>
  <x:si>
    <x:t xml:space="preserve">Dhulikhel, Nepal</x:t>
  </x:si>
  <x:si>
    <x:t xml:space="preserve">धुलिखेल, दुधौली नगरपालिका, काभ्रेपलाञ्चोक जिल्ला, बागमती प्रदेश, 09771, नेपाल</x:t>
  </x:si>
  <x:si>
    <x:t xml:space="preserve">Khurkot</x:t>
  </x:si>
  <x:si>
    <x:t xml:space="preserve">hamlet</x:t>
  </x:si>
  <x:si>
    <x:t xml:space="preserve">Khurkot, Sindhuli, Nepal</x:t>
  </x:si>
  <x:si>
    <x:t xml:space="preserve">खुर्कोट, Golanjor-07, गोलन्जोर गाउँपालिका, सिन्धुली जिल्ला, बागमती प्रदेश, नेपाल</x:t>
  </x:si>
  <x:si>
    <x:t xml:space="preserve">Janakpur, Nepal</x:t>
  </x:si>
  <x:si>
    <x:t xml:space="preserve">जनकपुर, जनकपुर उपमहानगरपालिका, धनुषा जिल्ला, मधेश प्रदेश, नेपाल</x:t>
  </x:si>
  <x:si>
    <x:t xml:space="preserve">Gaighat</x:t>
  </x:si>
  <x:si>
    <x:t xml:space="preserve">Triyuga Nepal</x:t>
  </x:si>
  <x:si>
    <x:t xml:space="preserve">त्रियुगा नगरपालिका, उदयपुर जिल्ला, कोशी प्रदेश, 56300, नेपाल</x:t>
  </x:si>
  <x:si>
    <x:t xml:space="preserve">Itahari</x:t>
  </x:si>
  <x:si>
    <x:t xml:space="preserve">Itahari, Nepal</x:t>
  </x:si>
  <x:si>
    <x:t xml:space="preserve">इटहरी उपमहानगरपालिका, सुनसरी जिल्ला, कोशी प्रदेश, नेपाल</x:t>
  </x:si>
  <x:si>
    <x:t xml:space="preserve">Biratnagar, Nepal</x:t>
  </x:si>
  <x:si>
    <x:t xml:space="preserve">बिराटनगर महानगरपालिका, मोरङ जिल्ला, कोशी प्रदेश, 56613, नेपाल</x:t>
  </x:si>
  <x:si>
    <x:t xml:space="preserve">Birtamod</x:t>
  </x:si>
  <x:si>
    <x:t xml:space="preserve">Birtamod, Nepal</x:t>
  </x:si>
  <x:si>
    <x:t xml:space="preserve">Birtamod, बिर्तामोड नगरपालिका, झापा जिल्ला, कोशी प्रदेश, 57204, नेपाल</x:t>
  </x:si>
  <x:si>
    <x:t xml:space="preserve">bus_station</x:t>
  </x:si>
  <x:si>
    <x:t xml:space="preserve">Kakarbhitta, Nepal</x:t>
  </x:si>
  <x:si>
    <x:t xml:space="preserve">Customs Kakarbhitta NEPAL, kakarvitta-Bahundangi, Kakarbitta, Mechinagar-06, मेचीनगर, मेचीनगर नगरपालिका, झापा जिल्ला, कोशी प्रदेश, 54507, नेपाल</x:t>
  </x:si>
  <x:si>
    <x:t xml:space="preserve">Phungling, Taplejung, Nepal</x:t>
  </x:si>
  <x:si>
    <x:t xml:space="preserve">फुङलिङ, फुङलिङ नगरपालिका, ताप्लेजुङ जिल्ला, कोशी प्रदेश, 57500, नेपाल</x:t>
  </x:si>
  <x:si>
    <x:t xml:space="preserve">Rajbiraj, Nepal</x:t>
  </x:si>
  <x:si>
    <x:t xml:space="preserve">राजविराज नगरपालिका, सप्तरी जिल्ला, मधेश प्रदेश, 54600, नेपाल</x:t>
  </x:si>
  <x:si>
    <x:t xml:space="preserve">Dharan</x:t>
  </x:si>
  <x:si>
    <x:t xml:space="preserve">Dharan, Nepal</x:t>
  </x:si>
  <x:si>
    <x:t xml:space="preserve">धरान उपमहानगरपालिका, सुनसरी जिल्ला, कोशी प्रदेश, 56700, नेपाल</x:t>
  </x:si>
  <x:si>
    <x:t xml:space="preserve">धनकुटा नेपाल</x:t>
  </x:si>
  <x:si>
    <x:t xml:space="preserve">धनकुटा, धनकुटा नगरपालिका, धनकुटा जिल्ला, कोशी प्रदेश, 56800, नेपाल</x:t>
  </x:si>
  <x:si>
    <x:t xml:space="preserve">Hile</x:t>
  </x:si>
  <x:si>
    <x:t xml:space="preserve">village</x:t>
  </x:si>
  <x:si>
    <x:t xml:space="preserve">Hile, Dhankuta, Nepal</x:t>
  </x:si>
  <x:si>
    <x:t xml:space="preserve">हिले, धनकुटा नगरपालिका, धनकुटा जिल्ला, कोशी प्रदेश, नेपाल</x:t>
  </x:si>
  <x:si>
    <x:t xml:space="preserve">Melamchi</x:t>
  </x:si>
  <x:si>
    <x:t xml:space="preserve">Melamchi, Nepal</x:t>
  </x:si>
  <x:si>
    <x:t xml:space="preserve">मेलम्ची, मेलम्ची नगरपालिका, सिन्धुपाल्चोक जिल्ला, बागमती प्रदेश, नेपाल</x:t>
  </x:si>
  <x:si>
    <x:t xml:space="preserve">Dhunche, Nepal</x:t>
  </x:si>
  <x:si>
    <x:t xml:space="preserve">धुन्चे, Gosaikunda-06, गोसाइँकुण्ड, गोसाइँकुण्ड गाउँपालिका, रसुवा जिल्ला, बागमती प्रदेश, नेपाल</x:t>
  </x:si>
  <x:si>
    <x:t xml:space="preserve">17 - Failure Unit Definition</x:t>
  </x:si>
  <x:si>
    <x:t xml:space="preserve">This sheet defines the generated failure units. It intentionally contains no manually selected corridor candidates.</x:t>
  </x:si>
  <x:si>
    <x:t xml:space="preserve">Rule</x:t>
  </x:si>
  <x:si>
    <x:t xml:space="preserve">Implemented value</x:t>
  </x:si>
  <x:si>
    <x:t xml:space="preserve">Audit output</x:t>
  </x:si>
  <x:si>
    <x:t xml:space="preserve">Network</x:t>
  </x:si>
  <x:si>
    <x:t xml:space="preserve">All NH/SH features after noding at shared coordinates</x:t>
  </x:si>
  <x:si>
    <x:t xml:space="preserve">junction_links_used.csv</x:t>
  </x:si>
  <x:si>
    <x:t xml:space="preserve">Endpoint</x:t>
  </x:si>
  <x:si>
    <x:t xml:space="preserve">Any road-analysis node with degree other than 2; pure rings receive one deterministic break</x:t>
  </x:si>
  <x:si>
    <x:t xml:space="preserve">from_node / to_node</x:t>
  </x:si>
  <x:si>
    <x:t xml:space="preserve">Link</x:t>
  </x:si>
  <x:si>
    <x:t xml:space="preserve">Maximal non-overlapping path between endpoints</x:t>
  </x:si>
  <x:si>
    <x:t xml:space="preserve">link_id / path metadata</x:t>
  </x:si>
  <x:si>
    <x:t xml:space="preserve">Coverage</x:t>
  </x:si>
  <x:si>
    <x:t xml:space="preserve">Every physical road edge assigned to exactly one link</x:t>
  </x:si>
  <x:si>
    <x:t xml:space="preserve">edge_count and osm_ids</x:t>
  </x:si>
  <x:si>
    <x:t xml:space="preserve">Failure</x:t>
  </x:si>
  <x:si>
    <x:t xml:space="preserve">Remove all physical road edges in that one link; keep analysis-only gap connectors</x:t>
  </x:si>
  <x:si>
    <x:t xml:space="preserve">road edge membership in runtime audit</x:t>
  </x:si>
  <x:si>
    <x:t xml:space="preserve">Naming</x:t>
  </x:si>
  <x:si>
    <x:t xml:space="preserve">OSM ref/name plus stable junction IDs and nearby place labels</x:t>
  </x:si>
  <x:si>
    <x:t xml:space="preserve">link_name, ref, name</x:t>
  </x:si>
  <x:si>
    <x:t xml:space="preserve">Manual candidates</x:t>
  </x:si>
  <x:si>
    <x:t xml:space="preserve">None</x:t>
  </x:si>
  <x:si>
    <x:t xml:space="preserve">No Section_Candidates sheet is read</x:t>
  </x:si>
  <x:si>
    <x:t xml:space="preserve">Dimension</x:t>
  </x:si>
  <x:si>
    <x:t xml:space="preserve">Term</x:t>
  </x:si>
  <x:si>
    <x:t xml:space="preserve">Formula</x:t>
  </x:si>
  <x:si>
    <x:t xml:space="preserve">Implementation_note</x:t>
  </x:si>
  <x:si>
    <x:t xml:space="preserve">Road link</x:t>
  </x:si>
  <x:si>
    <x:t xml:space="preserve">continuous road path between junctions or dead ends</x:t>
  </x:si>
  <x:si>
    <x:t xml:space="preserve">Every physical NH/SH edge is assigned once; no overlapping named corridors.</x:t>
  </x:si>
  <x:si>
    <x:t xml:space="preserve">Final</x:t>
  </x:si>
  <x:si>
    <x:t xml:space="preserve">MLPI(link)</x:t>
  </x:si>
  <x:si>
    <x:t xml:space="preserve">wP*P + wS*S + wE*E + wI*I</x:t>
  </x:si>
  <x:si>
    <x:t xml:space="preserve">Four normalized consequence dimensions for one failed road link.</x:t>
  </x:si>
  <x:si>
    <x:t xml:space="preserve">P</x:t>
  </x:si>
  <x:si>
    <x:t xml:space="preserve">(wP1*OD_TSTT_FFTDI_norm + wP2*detour_weighted_OD_exposure_norm)/(wP1+wP2)</x:t>
  </x:si>
  <x:si>
    <x:t xml:space="preserve">High flow matters only when failed-link removal increases OD total system travel time.</x:t>
  </x:si>
  <x:si>
    <x:t xml:space="preserve">P1 / OD_TSTT_FFTDI</x:t>
  </x:si>
  <x:si>
    <x:t xml:space="preserve">SUM(q_ij*max(0,t_ij_removed-t_ij_base))/SUM(q_ij*t_ij_base)</x:t>
  </x:si>
  <x:si>
    <x:t xml:space="preserve">Free-Flow Travel Disruption Index. Road link is removed and free-flow shortest paths are recomputed.</x:t>
  </x:si>
  <x:si>
    <x:t xml:space="preserve">P2 / detour-weighted OD exposure</x:t>
  </x:si>
  <x:si>
    <x:t xml:space="preserve">affected_OD_base_vht*min(1,max(0,(affected_OD_removed_vht/affected_OD_base_vht-1)/detour_full_credit_ratio))</x:t>
  </x:si>
  <x:si>
    <x:t xml:space="preserve">Baseline OD exposure is credited only when failure creates meaningful detour.</x:t>
  </x:si>
  <x:si>
    <x:t xml:space="preserve">S1</x:t>
  </x:si>
  <x:si>
    <x:t xml:space="preserve">newly_isolated_population_after_link_removal / total_population</x:t>
  </x:si>
  <x:si>
    <x:t xml:space="preserve">Population is conserved from district allocation.</x:t>
  </x:si>
  <x:si>
    <x:t xml:space="preserve">S2</x:t>
  </x:si>
  <x:si>
    <x:t xml:space="preserve">SUM(pop_n*max(0,t_health_removed_n-t_health_base_n))/SUM(pop_n)</x:t>
  </x:si>
  <x:si>
    <x:t xml:space="preserve">E1</x:t>
  </x:si>
  <x:si>
    <x:t xml:space="preserve">OD_vehicle_hour_loss * section_trade_exposure</x:t>
  </x:si>
  <x:si>
    <x:t xml:space="preserve">Travel-time loss weighted by failed-link AADT and border-gateway accessibility.</x:t>
  </x:si>
  <x:si>
    <x:t xml:space="preserve">E2</x:t>
  </x:si>
  <x:si>
    <x:t xml:space="preserve">GDP-weighted loss of border-trade gateway access</x:t>
  </x:si>
  <x:si>
    <x:t xml:space="preserve">GDP weights are region-balanced when E2 regional balance is TRUE.</x:t>
  </x:si>
  <x:si>
    <x:t xml:space="preserve">Airport access</x:t>
  </x:si>
  <x:si>
    <x:t xml:space="preserve">I1</x:t>
  </x:si>
  <x:si>
    <x:t xml:space="preserve">population-weighted increase in road travel time to nearest operational airport</x:t>
  </x:si>
  <x:si>
    <x:t xml:space="preserve">Measures access deterioration, not air substitution.</x:t>
  </x:si>
  <x:si>
    <x:t xml:space="preserve">I2</x:t>
  </x:si>
  <x:si>
    <x:t xml:space="preserve">population losing all operational-airport road access / baseline-access population</x:t>
  </x:si>
  <x:si>
    <x:t xml:space="preserve">Alternative roads reduce the consequence naturally.</x:t>
  </x:si>
</x:sst>
</file>

<file path=xl/styles.xml><?xml version="1.0" encoding="utf-8"?>
<x:styleSheet xmlns:x="http://schemas.openxmlformats.org/spreadsheetml/2006/main">
  <x:numFmts count="1">
    <x:numFmt numFmtId="164" formatCode="0.000000"/>
  </x:numFmts>
  <x:fonts count="20">
    <x:font>
      <x:sz val="11"/>
      <x:color theme="1"/>
      <x:name val="Calibri"/>
    </x:font>
    <x:font>
      <x:sz val="10"/>
      <x:color rgb="FF000000"/>
      <x:name val="Arial"/>
    </x:font>
    <x:font>
      <x:sz val="10"/>
      <x:color rgb="FF0000FF"/>
      <x:name val="Arial"/>
    </x:font>
    <x:font>
      <x:i/>
      <x:sz val="9"/>
      <x:color rgb="FF595959"/>
      <x:name val="Arial"/>
    </x:font>
    <x:font>
      <x:b/>
      <x:sz val="14"/>
      <x:color rgb="FFFFFFFF"/>
      <x:name val="Times New Roman"/>
    </x:font>
    <x:font>
      <x:sz val="11"/>
      <x:color theme="1"/>
      <x:name val="Times New Roman"/>
    </x:font>
    <x:font>
      <x:b/>
      <x:sz val="11"/>
      <x:color rgb="FFFFFFFF"/>
      <x:name val="Times New Roman"/>
    </x:font>
    <x:font>
      <x:sz val="10"/>
      <x:color rgb="FF000000"/>
      <x:name val="Times New Roman"/>
    </x:font>
    <x:font>
      <x:b/>
      <x:sz val="10"/>
      <x:color rgb="FF000000"/>
      <x:name val="Times New Roman"/>
    </x:font>
    <x:font>
      <x:sz val="10"/>
      <x:color rgb="FF0000FF"/>
      <x:name val="Times New Roman"/>
    </x:font>
    <x:font>
      <x:b/>
      <x:sz val="10"/>
      <x:color theme="1"/>
      <x:name val="Times New Roman"/>
    </x:font>
    <x:font>
      <x:sz val="10"/>
      <x:color theme="1"/>
      <x:name val="Times New Roman"/>
    </x:font>
    <x:font>
      <x:b/>
      <x:sz val="11"/>
      <x:color rgb="FFFFFFFF"/>
      <x:name val="Calibri"/>
    </x:font>
    <x:font>
      <x:b/>
      <x:sz val="15"/>
      <x:color rgb="FFFFFFFF"/>
      <x:name val="Calibri"/>
    </x:font>
    <x:font>
      <x:i/>
      <x:sz val="11"/>
      <x:color rgb="FF1F2937"/>
      <x:name val="Calibri"/>
    </x:font>
    <x:font>
      <x:b/>
      <x:sz val="11"/>
      <x:color rgb="FFFFFFFF"/>
      <x:name val="Calibri"/>
    </x:font>
    <x:font>
      <x:b/>
      <x:sz val="15"/>
      <x:color rgb="FFFFFFFF"/>
      <x:name val="Times New Roman"/>
    </x:font>
    <x:font>
      <x:i/>
      <x:sz val="11"/>
      <x:color rgb="FF1F2937"/>
      <x:name val="Times New Roman"/>
    </x:font>
    <x:font>
      <x:b/>
      <x:sz val="14"/>
      <x:name val="Times New Roman"/>
    </x:font>
    <x:font>
      <x:b/>
      <x:sz val="11"/>
      <x:name val="Times New Roman"/>
    </x:font>
  </x:fonts>
  <x:fills count="13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1F2"/>
      </x:patternFill>
    </x:fill>
    <x:fill>
      <x:patternFill patternType="solid">
        <x:fgColor rgb="FFFFFF00"/>
      </x:patternFill>
    </x:fill>
    <x:fill>
      <x:patternFill patternType="solid">
        <x:fgColor rgb="FFD9E1F2"/>
      </x:patternFill>
    </x:fill>
    <x:fill>
      <x:patternFill patternType="solid">
        <x:fgColor theme="5" tint="-0.24998"/>
      </x:patternFill>
    </x:fill>
    <x:fill>
      <x:patternFill patternType="solid">
        <x:fgColor theme="6" tint="0.39998"/>
      </x:patternFill>
    </x:fill>
    <x:fill>
      <x:patternFill patternType="solid">
        <x:fgColor theme="0" tint="-0.24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6">
    <x:border/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CDD7E1"/>
      </x:left>
      <x:right style="thin">
        <x:color rgb="FFCDD7E1"/>
      </x:right>
      <x:top style="thin">
        <x:color rgb="FFCDD7E1"/>
      </x:top>
      <x:bottom style="thin">
        <x:color rgb="FFCDD7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2" xfId="0" applyFont="1" applyBorder="1" applyAlignment="1">
      <x:alignment horizontal="left" vertical="center" wrapText="1"/>
    </x:xf>
    <x:xf numFmtId="0" fontId="2" fillId="0" borderId="2" xfId="0" applyFont="1" applyBorder="1" applyAlignment="1">
      <x:alignment horizontal="center" vertical="center" wrapText="1"/>
    </x:xf>
    <x:xf numFmtId="0" fontId="1" fillId="3" borderId="2" xfId="0" applyFont="1" applyFill="1" applyBorder="1" applyAlignment="1">
      <x:alignment horizontal="left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5" fillId="0" borderId="0" xfId="0" applyFont="1"/>
    <x:xf numFmtId="0" fontId="7" fillId="0" borderId="2" xfId="0" applyFont="1" applyBorder="1" applyAlignment="1">
      <x:alignment horizontal="left" vertical="center" wrapText="1"/>
    </x:xf>
    <x:xf numFmtId="0" fontId="9" fillId="0" borderId="2" xfId="0" applyFont="1" applyBorder="1" applyAlignment="1">
      <x:alignment horizontal="center" vertical="center" wrapText="1"/>
    </x:xf>
    <x:xf numFmtId="0" fontId="7" fillId="3" borderId="2" xfId="0" applyFont="1" applyFill="1" applyBorder="1" applyAlignment="1">
      <x:alignment horizontal="left" vertical="center" wrapText="1"/>
    </x:xf>
    <x:xf numFmtId="0" fontId="9" fillId="3" borderId="2" xfId="0" applyFont="1" applyFill="1" applyBorder="1" applyAlignment="1">
      <x:alignment horizontal="center" vertical="center" wrapText="1"/>
    </x:xf>
    <x:xf numFmtId="0" fontId="9" fillId="4" borderId="2" xfId="0" applyFont="1" applyFill="1" applyBorder="1" applyAlignment="1">
      <x:alignment horizontal="center" vertical="center" wrapText="1"/>
    </x:xf>
    <x:xf numFmtId="0" fontId="10" fillId="8" borderId="2" xfId="0" applyFont="1" applyFill="1" applyBorder="1" applyAlignment="1">
      <x:alignment horizontal="center" vertical="center" wrapText="1"/>
    </x:xf>
    <x:xf numFmtId="0" fontId="8" fillId="0" borderId="0" xfId="0" applyFont="1"/>
    <x:xf numFmtId="0" fontId="7" fillId="0" borderId="2" xfId="0" applyFont="1" applyBorder="1" applyAlignment="1">
      <x:alignment horizontal="center" vertical="center" wrapText="1"/>
    </x:xf>
    <x:xf numFmtId="0" fontId="7" fillId="3" borderId="2" xfId="0" applyFont="1" applyFill="1" applyBorder="1" applyAlignment="1">
      <x:alignment horizontal="center" vertical="center" wrapText="1"/>
    </x:xf>
    <x:xf numFmtId="0" fontId="11" fillId="0" borderId="4" xfId="0" applyFont="1" applyBorder="1" applyAlignment="1">
      <x:alignment horizontal="center" vertical="center" wrapText="1"/>
    </x:xf>
    <x:xf numFmtId="0" fontId="11" fillId="0" borderId="4" xfId="0" applyFont="1" applyBorder="1" applyAlignment="1">
      <x:alignment horizontal="left" vertical="center" wrapText="1"/>
    </x:xf>
    <x:xf numFmtId="0" fontId="11" fillId="5" borderId="4" xfId="0" applyFont="1" applyFill="1" applyBorder="1" applyAlignment="1">
      <x:alignment horizontal="center" vertical="center" wrapText="1"/>
    </x:xf>
    <x:xf numFmtId="0" fontId="11" fillId="5" borderId="4" xfId="0" applyFont="1" applyFill="1" applyBorder="1" applyAlignment="1">
      <x:alignment horizontal="left" vertical="center" wrapText="1"/>
    </x:xf>
    <x:xf numFmtId="0" fontId="12" fillId="9" borderId="0" xfId="0" applyFont="1" applyFill="1" applyAlignment="1">
      <x:alignment wrapText="1"/>
    </x:xf>
    <x:xf numFmtId="0" fontId="0" fillId="0" borderId="0" xfId="0" applyAlignment="1">
      <x:alignment vertical="top" wrapText="1"/>
    </x:xf>
    <x:xf numFmtId="0" fontId="12" fillId="9" borderId="2" xfId="0" applyFont="1" applyFill="1" applyBorder="1" applyAlignment="1">
      <x:alignment wrapText="1"/>
    </x:xf>
    <x:xf numFmtId="0" fontId="0" fillId="0" borderId="5" xfId="0" applyBorder="1" applyAlignment="1">
      <x:alignment vertical="top" wrapText="1"/>
    </x:xf>
    <x:xf numFmtId="0" fontId="15" fillId="10" borderId="5" xfId="0" applyFont="1" applyFill="1" applyBorder="1" applyAlignment="1">
      <x:alignment wrapText="1"/>
    </x:xf>
    <x:xf numFmtId="0" fontId="6" fillId="10" borderId="5" xfId="0" applyFont="1" applyFill="1" applyBorder="1"/>
    <x:xf numFmtId="0" fontId="5" fillId="0" borderId="5" xfId="0" applyFont="1" applyBorder="1" applyAlignment="1">
      <x:alignment vertical="top" wrapText="1"/>
    </x:xf>
    <x:xf numFmtId="0" fontId="18" fillId="0" borderId="0" xfId="0" applyFont="1"/>
    <x:xf numFmtId="0" fontId="19" fillId="0" borderId="0" xfId="0" applyFont="1"/>
    <x:xf numFmtId="0" fontId="6" fillId="9" borderId="0" xfId="0" applyFont="1" applyFill="1" applyAlignment="1">
      <x:alignment wrapText="1"/>
    </x:xf>
    <x:xf numFmtId="0" fontId="5" fillId="0" borderId="0" xfId="0" applyFont="1" applyAlignment="1">
      <x:alignment vertical="top" wrapText="1"/>
    </x:xf>
    <x:xf numFmtId="0" fontId="6" fillId="10" borderId="5" xfId="0" applyFont="1" applyFill="1" applyBorder="1" applyAlignment="1">
      <x:alignment wrapText="1"/>
    </x:xf>
    <x:xf numFmtId="3" fontId="5" fillId="0" borderId="5" xfId="0" applyNumberFormat="1" applyFont="1" applyBorder="1" applyAlignment="1">
      <x:alignment vertical="top" wrapText="1"/>
    </x:xf>
    <x:xf numFmtId="164" fontId="5" fillId="0" borderId="5" xfId="0" applyNumberFormat="1" applyFont="1" applyBorder="1" applyAlignment="1">
      <x:alignment vertical="top" wrapText="1"/>
    </x:xf>
    <x:xf numFmtId="0" fontId="17" fillId="11" borderId="0" xfId="0" applyFont="1" applyFill="1" applyAlignment="1">
      <x:alignment wrapText="1"/>
    </x:xf>
    <x:xf numFmtId="0" fontId="5" fillId="0" borderId="0" xfId="0" applyFont="1"/>
    <x:xf numFmtId="0" fontId="16" fillId="10" borderId="0" xfId="0" applyFont="1" applyFill="1" applyAlignment="1">
      <x:alignment vertical="center"/>
    </x:xf>
    <x:xf numFmtId="0" fontId="0" fillId="0" borderId="0" xfId="0"/>
    <x:xf numFmtId="0" fontId="6" fillId="12" borderId="0" xfId="0" applyFont="1" applyFill="1"/>
    <x:xf numFmtId="0" fontId="4" fillId="6" borderId="0" xfId="0" applyFont="1" applyFill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0" fillId="0" borderId="3" xfId="0" applyBorder="1"/>
    <x:xf numFmtId="0" fontId="6" fillId="7" borderId="0" xfId="0" applyFont="1" applyFill="1" applyAlignment="1">
      <x:alignment horizontal="center" vertical="center" wrapText="1"/>
    </x:xf>
    <x:xf numFmtId="0" fontId="3" fillId="0" borderId="0" xfId="0" applyFont="1" applyAlignment="1">
      <x:alignment horizontal="left" vertical="top" wrapText="1"/>
    </x:xf>
    <x:xf numFmtId="0" fontId="13" fillId="10" borderId="0" xfId="0" applyFont="1" applyFill="1" applyAlignment="1">
      <x:alignment vertical="center"/>
    </x:xf>
    <x:xf numFmtId="0" fontId="14" fillId="11" borderId="0" xfId="0" applyFont="1" applyFill="1" applyAlignment="1">
      <x:alignment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2E5597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f04a3f4fb42aa" /><Relationship Type="http://schemas.openxmlformats.org/officeDocument/2006/relationships/theme" Target="/xl/theme/theme1.xml" Id="Rfbcfc02215664696" /><Relationship Type="http://schemas.openxmlformats.org/officeDocument/2006/relationships/sharedStrings" Target="/xl/sharedStrings.xml" Id="R0d1361c109a84031" /><Relationship Type="http://schemas.openxmlformats.org/officeDocument/2006/relationships/worksheet" Target="/xl/worksheets/sheet1.xml" Id="R262ef7cd9b064902" /><Relationship Type="http://schemas.openxmlformats.org/officeDocument/2006/relationships/worksheet" Target="/xl/worksheets/sheet2.xml" Id="Rb05b7eb4b1064546" /><Relationship Type="http://schemas.openxmlformats.org/officeDocument/2006/relationships/worksheet" Target="/xl/worksheets/sheet3.xml" Id="R52d3feb375a44dce" /><Relationship Type="http://schemas.openxmlformats.org/officeDocument/2006/relationships/worksheet" Target="/xl/worksheets/sheet4.xml" Id="R3de5a42dc6e94970" /><Relationship Type="http://schemas.openxmlformats.org/officeDocument/2006/relationships/worksheet" Target="/xl/worksheets/sheet5.xml" Id="R56705b633a804c2e" /><Relationship Type="http://schemas.openxmlformats.org/officeDocument/2006/relationships/worksheet" Target="/xl/worksheets/sheet6.xml" Id="R287b9e2435654efe" /><Relationship Type="http://schemas.openxmlformats.org/officeDocument/2006/relationships/worksheet" Target="/xl/worksheets/sheet7.xml" Id="Rd09763da74014096" /><Relationship Type="http://schemas.openxmlformats.org/officeDocument/2006/relationships/worksheet" Target="/xl/worksheets/sheet8.xml" Id="R5b5fe0c6193f4787" /><Relationship Type="http://schemas.openxmlformats.org/officeDocument/2006/relationships/worksheet" Target="/xl/worksheets/sheet9.xml" Id="R4223961df4914b5a" /><Relationship Type="http://schemas.openxmlformats.org/officeDocument/2006/relationships/worksheet" Target="/xl/worksheets/sheet10.xml" Id="R497810adf1d64a40" /><Relationship Type="http://schemas.openxmlformats.org/officeDocument/2006/relationships/worksheet" Target="/xl/worksheets/sheet11.xml" Id="Rf25958744b204604" /><Relationship Type="http://schemas.openxmlformats.org/officeDocument/2006/relationships/worksheet" Target="/xl/worksheets/sheet12.xml" Id="Rd9ac9f1b304242ae" /><Relationship Type="http://schemas.openxmlformats.org/officeDocument/2006/relationships/worksheet" Target="/xl/worksheets/sheet13.xml" Id="R6265c31869804790" /><Relationship Type="http://schemas.openxmlformats.org/officeDocument/2006/relationships/worksheet" Target="/xl/worksheets/sheet14.xml" Id="R7fe917df62e040fc" /><Relationship Type="http://schemas.openxmlformats.org/officeDocument/2006/relationships/worksheet" Target="/xl/worksheets/sheet15.xml" Id="R0eb3a84c40a54d5b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25" style="5" customWidth="1"/>
    <x:col min="2" max="2" width="105" style="5" customWidth="1"/>
    <x:col min="3" max="5" width="8.6640625" style="5" customWidth="1"/>
    <x:col min="6" max="16384" width="8.6640625" style="5" customWidth="0"/>
  </x:cols>
  <x:sheetData>
    <x:row r="1" ht="27" customHeight="1">
      <x:c r="A1" s="35" t="s">
        <x:v>0</x:v>
      </x:c>
      <x:c r="B1" s="34"/>
    </x:row>
    <x:row r="2" ht="34" customHeight="1">
      <x:c r="A2" s="33" t="s">
        <x:v>1</x:v>
      </x:c>
      <x:c r="B2" s="34"/>
    </x:row>
    <x:row r="4" ht="30" customHeight="1">
      <x:c r="A4" s="24" t="s">
        <x:v>2</x:v>
      </x:c>
      <x:c r="B4" s="24" t="s">
        <x:v>3</x:v>
      </x:c>
    </x:row>
    <x:row r="5" ht="30" customHeight="1">
      <x:c r="A5" s="25" t="s">
        <x:v>4</x:v>
      </x:c>
      <x:c r="B5" s="25" t="s">
        <x:v>5</x:v>
      </x:c>
    </x:row>
    <x:row r="6" ht="18" customHeight="1">
      <x:c r="A6" s="25" t="s">
        <x:v>6</x:v>
      </x:c>
      <x:c r="B6" s="25" t="s">
        <x:v>7</x:v>
      </x:c>
    </x:row>
    <x:row r="7" ht="18" customHeight="1">
      <x:c r="A7" s="25" t="s">
        <x:v>8</x:v>
      </x:c>
      <x:c r="B7" s="25" t="s">
        <x:v>9</x:v>
      </x:c>
    </x:row>
    <x:row r="8" ht="30" customHeight="1">
      <x:c r="A8" s="25" t="s">
        <x:v>10</x:v>
      </x:c>
      <x:c r="B8" s="25" t="s">
        <x:v>11</x:v>
      </x:c>
    </x:row>
    <x:row r="9" ht="30" customHeight="1">
      <x:c r="A9" s="25" t="s">
        <x:v>12</x:v>
      </x:c>
      <x:c r="B9" s="25" t="s">
        <x:v>13</x:v>
      </x:c>
    </x:row>
    <x:row r="10" ht="30" customHeight="1">
      <x:c r="A10" s="25" t="s">
        <x:v>14</x:v>
      </x:c>
      <x:c r="B10" s="25" t="s">
        <x:v>15</x:v>
      </x:c>
    </x:row>
    <x:row r="11" ht="18" customHeight="1">
      <x:c r="A11" s="25" t="s">
        <x:v>16</x:v>
      </x:c>
      <x:c r="B11" s="25" t="str">
        <x:v>E1 is OD vehicle-hour loss; E2 is conserved-GDP-weighted road access loss to border-trade gateways.</x:v>
      </x:c>
    </x:row>
    <x:row r="12" ht="18" customHeight="1">
      <x:c r="A12" s="25" t="s">
        <x:v>17</x:v>
      </x:c>
      <x:c r="B12" s="25" t="s">
        <x:v>18</x:v>
      </x:c>
    </x:row>
    <x:row r="13" ht="18" customHeight="1">
      <x:c r="A13" s="25" t="s">
        <x:v>19</x:v>
      </x:c>
      <x:c r="B13" s="25" t="str">
        <x:v>15_Population_GDP contains all 77 district totals once; the script allocates each total to representative NH/SH road nodes inside the district polygon, with nearest-node assignment when required.</x:v>
      </x:c>
    </x:row>
    <x:row r="14" ht="18" customHeight="1">
      <x:c r="A14" s="25" t="str">
        <x:v>Scope</x:v>
      </x:c>
      <x:c r="B14" s="25" t="str">
        <x:v>The active workflow uses Nepal.gpkg NH, the calibrated ME2 OD matrix, district socioeconomic allocation, airport access, and the four-dimensional MLPI formulas.</x:v>
      </x:c>
    </x:row>
    <x:row r="15" ht="30" customHeight="1">
      <x:c r="A15" s="25" t="s">
        <x:v>20</x:v>
      </x:c>
      <x:c r="B15" s="25" t="s">
        <x:v>21</x:v>
      </x:c>
    </x:row>
    <x:row r="16" ht="30" customHeight="1">
      <x:c r="A16" t="s">
        <x:v>22</x:v>
      </x:c>
      <x:c r="B16" t="s">
        <x:v>23</x:v>
      </x:c>
    </x:row>
    <x:row r="17" s="5" customFormat="1" ht="18" customHeight="1"/>
    <x:row r="18" s="5" customFormat="1" ht="30" customHeight="1"/>
    <x:row r="19" s="5" customFormat="1" ht="30" customHeight="1"/>
    <x:row r="20" s="5" customFormat="1" ht="30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43" customHeight="1"/>
  </x:sheetData>
  <x:mergeCells>
    <x:mergeCell ref="A2:B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5"/>
  <x:cols>
    <x:col min="1" max="1" width="34" style="5" customWidth="1"/>
    <x:col min="2" max="2" width="22" style="5" customWidth="1"/>
    <x:col min="3" max="3" width="12" style="5" customWidth="1"/>
    <x:col min="4" max="4" width="12" customWidth="1"/>
    <x:col min="5" max="5" width="16" style="5" hidden="1" customWidth="1"/>
    <x:col min="6" max="6" width="14" style="5" customWidth="1"/>
    <x:col min="7" max="7" width="26" style="5" customWidth="1"/>
    <x:col min="8" max="8" width="58" style="5" customWidth="1"/>
    <x:col min="9" max="9" width="24" style="5" customWidth="1"/>
    <x:col min="10" max="12" width="8.6640625" style="5" customWidth="1"/>
    <x:col min="13" max="16384" width="8.6640625" style="5" customWidth="0"/>
  </x:cols>
  <x:sheetData>
    <x:row r="1" ht="37" customHeight="1">
      <x:c r="A1" s="26" t="s">
        <x:v>24</x:v>
      </x:c>
      <x:c r="D1" s="5"/>
    </x:row>
    <x:row r="2" ht="26" customHeight="1">
      <x:c r="A2" s="5" t="s">
        <x:v>25</x:v>
      </x:c>
      <x:c r="D2" s="5"/>
    </x:row>
    <x:row r="3" ht="14" customHeight="1">
      <x:c r="D3" s="5"/>
    </x:row>
    <x:row r="4" ht="20" customHeight="1">
      <x:c r="A4" s="27" t="s">
        <x:v>26</x:v>
      </x:c>
      <x:c r="D4" s="5"/>
    </x:row>
    <x:row r="5" ht="20" customHeight="1">
      <x:c r="A5" s="28" t="s">
        <x:v>27</x:v>
      </x:c>
      <x:c r="B5" s="28" t="s">
        <x:v>28</x:v>
      </x:c>
      <x:c r="C5" s="28" t="s">
        <x:v>29</x:v>
      </x:c>
      <x:c r="D5" s="28" t="s">
        <x:v>30</x:v>
      </x:c>
      <x:c r="E5" s="28" t="s">
        <x:v>31</x:v>
      </x:c>
      <x:c r="F5" s="28" t="s">
        <x:v>32</x:v>
      </x:c>
      <x:c r="G5" s="28" t="s">
        <x:v>33</x:v>
      </x:c>
      <x:c r="H5" s="28" t="s">
        <x:v>34</x:v>
      </x:c>
      <x:c r="I5" s="28" t="s">
        <x:v>35</x:v>
      </x:c>
    </x:row>
    <x:row r="6" ht="61.75" customHeight="1">
      <x:c r="A6" s="29" t="s">
        <x:v>36</x:v>
      </x:c>
      <x:c r="B6" s="29" t="s">
        <x:v>37</x:v>
      </x:c>
      <x:c r="C6" s="29"/>
      <x:c r="D6" s="29"/>
      <x:c r="E6" s="29" t="s">
        <x:v>38</x:v>
      </x:c>
      <x:c r="F6" s="29" t="s">
        <x:v>39</x:v>
      </x:c>
      <x:c r="G6" s="29" t="s">
        <x:v>40</x:v>
      </x:c>
      <x:c r="H6" s="29" t="str">
        <x:v>Folder containing Nepal.gpkg and supporting layers.</x:v>
      </x:c>
      <x:c r="I6" s="29" t="s">
        <x:v>41</x:v>
      </x:c>
    </x:row>
    <x:row r="7" ht="40" customHeight="1">
      <x:c r="A7" s="29" t="s">
        <x:v>42</x:v>
      </x:c>
      <x:c r="B7" s="29" t="s">
        <x:v>43</x:v>
      </x:c>
      <x:c r="C7" s="29"/>
      <x:c r="D7" s="29"/>
      <x:c r="E7" s="29" t="s">
        <x:v>38</x:v>
      </x:c>
      <x:c r="F7" s="29" t="s">
        <x:v>39</x:v>
      </x:c>
      <x:c r="G7" s="29" t="s">
        <x:v>40</x:v>
      </x:c>
      <x:c r="H7" s="29" t="s">
        <x:v>44</x:v>
      </x:c>
      <x:c r="I7" s="29" t="s">
        <x:v>45</x:v>
      </x:c>
    </x:row>
    <x:row r="8" ht="31.75" hidden="1" customHeight="1">
      <x:c r="A8" s="29" t="s">
        <x:v>46</x:v>
      </x:c>
      <x:c r="B8" s="29">
        <x:v>42</x:v>
      </x:c>
      <x:c r="C8" s="29">
        <x:v>0</x:v>
      </x:c>
      <x:c r="D8" s="29">
        <x:v>9999</x:v>
      </x:c>
      <x:c r="E8" s="29" t="s">
        <x:v>47</x:v>
      </x:c>
      <x:c r="F8" s="29" t="s">
        <x:v>48</x:v>
      </x:c>
      <x:c r="G8" s="29" t="s">
        <x:v>49</x:v>
      </x:c>
      <x:c r="H8" s="29" t="str">
        <x:v>Used for deterministic ordering and reproducible tie handling.</x:v>
      </x:c>
      <x:c r="I8" s="29" t="s">
        <x:v>50</x:v>
      </x:c>
    </x:row>
    <x:row r="9" ht="31.75" customHeight="1">
      <x:c r="A9" s="29" t="s">
        <x:v>51</x:v>
      </x:c>
      <x:c r="B9" s="29" t="s">
        <x:v>52</x:v>
      </x:c>
      <x:c r="C9" s="29"/>
      <x:c r="D9" s="29"/>
      <x:c r="E9" s="29" t="s">
        <x:v>38</x:v>
      </x:c>
      <x:c r="F9" s="29" t="s">
        <x:v>53</x:v>
      </x:c>
      <x:c r="G9" s="29" t="s">
        <x:v>54</x:v>
      </x:c>
      <x:c r="H9" s="29" t="s">
        <x:v>55</x:v>
      </x:c>
      <x:c r="I9" s="29" t="s">
        <x:v>56</x:v>
      </x:c>
    </x:row>
    <x:row r="10" ht="61.75" customHeight="1">
      <x:c r="A10" s="29" t="s">
        <x:v>57</x:v>
      </x:c>
      <x:c r="B10" s="29" t="s">
        <x:v>58</x:v>
      </x:c>
      <x:c r="C10" s="29"/>
      <x:c r="D10" s="29"/>
      <x:c r="E10" s="29" t="s">
        <x:v>38</x:v>
      </x:c>
      <x:c r="F10" s="29" t="s">
        <x:v>59</x:v>
      </x:c>
      <x:c r="G10" s="29" t="s">
        <x:v>54</x:v>
      </x:c>
      <x:c r="H10" s="29" t="s">
        <x:v>60</x:v>
      </x:c>
      <x:c r="I10" s="29" t="s">
        <x:v>61</x:v>
      </x:c>
    </x:row>
    <x:row r="11" ht="31.75" customHeight="1">
      <x:c r="A11" s="29" t="s">
        <x:v>62</x:v>
      </x:c>
      <x:c r="B11" s="29" t="s">
        <x:v>63</x:v>
      </x:c>
      <x:c r="C11" s="29"/>
      <x:c r="D11" s="29"/>
      <x:c r="E11" s="29" t="s">
        <x:v>38</x:v>
      </x:c>
      <x:c r="F11" s="29" t="s">
        <x:v>59</x:v>
      </x:c>
      <x:c r="G11" s="29" t="s">
        <x:v>54</x:v>
      </x:c>
      <x:c r="H11" s="29" t="s">
        <x:v>64</x:v>
      </x:c>
      <x:c r="I11" s="29" t="s">
        <x:v>65</x:v>
      </x:c>
    </x:row>
    <x:row r="12" ht="20" customHeight="1">
      <x:c r="A12" s="29" t="s">
        <x:v>66</x:v>
      </x:c>
      <x:c r="B12" s="29">
        <x:v>20</x:v>
      </x:c>
      <x:c r="C12" s="29">
        <x:v>5</x:v>
      </x:c>
      <x:c r="D12" s="29">
        <x:v>50</x:v>
      </x:c>
      <x:c r="E12" s="29" t="s">
        <x:v>47</x:v>
      </x:c>
      <x:c r="F12" s="29" t="s">
        <x:v>67</x:v>
      </x:c>
      <x:c r="G12" s="29" t="s">
        <x:v>54</x:v>
      </x:c>
      <x:c r="H12" s="29" t="s">
        <x:v>68</x:v>
      </x:c>
      <x:c r="I12" s="29" t="s">
        <x:v>69</x:v>
      </x:c>
    </x:row>
    <x:row r="13" ht="20" customHeight="1"/>
    <x:row r="14" ht="31.75" customHeight="1"/>
  </x:sheetData>
  <x:dataValidations count="1">
    <x:dataValidation type="list" allowBlank="1" sqref="E6:E15">
      <x:formula1>"Deterministic,Uniform,Triangular,Normal,LogNormal,Beta,Discrete"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2" style="5" customWidth="1"/>
    <x:col min="2" max="2" width="21" style="5" customWidth="1"/>
    <x:col min="3" max="4" width="11" customWidth="1"/>
    <x:col min="5" max="5" width="15" style="5" hidden="1" customWidth="1"/>
    <x:col min="6" max="6" width="14" style="5" customWidth="1"/>
    <x:col min="7" max="7" width="27" style="5" customWidth="1"/>
    <x:col min="8" max="8" width="54" style="5" customWidth="1"/>
    <x:col min="9" max="9" width="24" style="5" customWidth="1"/>
    <x:col min="10" max="12" width="8.6640625" style="5" customWidth="1"/>
    <x:col min="13" max="16384" width="8.6640625" style="5" customWidth="0"/>
  </x:cols>
  <x:sheetData>
    <x:row r="1" ht="27" customHeight="1">
      <x:c r="A1" s="35" t="s">
        <x:v>70</x:v>
      </x:c>
      <x:c r="B1" s="34"/>
      <x:c r="C1" s="36"/>
      <x:c r="D1" s="36"/>
      <x:c r="E1" s="34"/>
      <x:c r="F1" s="34"/>
      <x:c r="G1" s="34"/>
      <x:c r="H1" s="34"/>
      <x:c r="I1" s="34"/>
    </x:row>
    <x:row r="2" ht="34" customHeight="1">
      <x:c r="A2" s="33" t="s">
        <x:v>71</x:v>
      </x:c>
      <x:c r="B2" s="34"/>
      <x:c r="C2" s="36"/>
      <x:c r="D2" s="36"/>
      <x:c r="E2" s="34"/>
      <x:c r="F2" s="34"/>
      <x:c r="G2" s="34"/>
      <x:c r="H2" s="34"/>
      <x:c r="I2" s="34"/>
    </x:row>
    <x:row r="3" ht="14" customHeight="1">
      <x:c r="C3" s="5"/>
      <x:c r="D3" s="5"/>
    </x:row>
    <x:row r="4" ht="15" customHeight="1">
      <x:c r="A4" s="37" t="s">
        <x:v>72</x:v>
      </x:c>
      <x:c r="B4" s="34"/>
      <x:c r="C4" s="36"/>
      <x:c r="D4" s="36"/>
      <x:c r="E4" s="34"/>
      <x:c r="F4" s="34"/>
      <x:c r="G4" s="34"/>
      <x:c r="H4" s="34"/>
      <x:c r="I4" s="34"/>
    </x:row>
    <x:row r="5" ht="15" customHeight="1">
      <x:c r="A5" s="30" t="s">
        <x:v>27</x:v>
      </x:c>
      <x:c r="B5" s="30" t="s">
        <x:v>28</x:v>
      </x:c>
      <x:c r="C5" s="30" t="s">
        <x:v>29</x:v>
      </x:c>
      <x:c r="D5" s="30" t="s">
        <x:v>30</x:v>
      </x:c>
      <x:c r="E5" s="30" t="s">
        <x:v>31</x:v>
      </x:c>
      <x:c r="F5" s="30" t="s">
        <x:v>32</x:v>
      </x:c>
      <x:c r="G5" s="30" t="s">
        <x:v>33</x:v>
      </x:c>
      <x:c r="H5" s="30" t="s">
        <x:v>34</x:v>
      </x:c>
      <x:c r="I5" s="30" t="s">
        <x:v>35</x:v>
      </x:c>
    </x:row>
    <x:row r="6" ht="23.75" customHeight="1">
      <x:c r="A6" s="25" t="str">
        <x:v>Road network source</x:v>
      </x:c>
      <x:c r="B6" s="25" t="str">
        <x:v>/Users/bishalbhurtel/Desktop/Project/Nepal.gpkg</x:v>
      </x:c>
      <x:c r="C6" s="25"/>
      <x:c r="D6" s="25"/>
      <x:c r="E6" s="25" t="str">
        <x:v>Deterministic</x:v>
      </x:c>
      <x:c r="F6" s="25" t="str">
        <x:v>file</x:v>
      </x:c>
      <x:c r="G6" s="25" t="str">
        <x:v>Master GeoPackage</x:v>
      </x:c>
      <x:c r="H6" s="25" t="str">
        <x:v>Nepal.gpkg layer NH is the authoritative highway network for MLPI.</x:v>
      </x:c>
      <x:c r="I6" s="25" t="str">
        <x:v>MASTER_GPKG</x:v>
      </x:c>
    </x:row>
    <x:row r="7" ht="15" customHeight="1">
      <x:c r="A7" s="25" t="str">
        <x:v>Road ref filter</x:v>
      </x:c>
      <x:c r="B7" s="25" t="str">
        <x:v>ALL</x:v>
      </x:c>
      <x:c r="C7" s="25"/>
      <x:c r="D7" s="25"/>
      <x:c r="E7" s="25" t="str">
        <x:v>Deterministic</x:v>
      </x:c>
      <x:c r="F7" s="25" t="str">
        <x:v>text</x:v>
      </x:c>
      <x:c r="G7" s="25" t="str">
        <x:v>Workbook scenario control</x:v>
      </x:c>
      <x:c r="H7" s="25" t="str">
        <x:v>Use ALL for the full Nepal.gpkg NH layer. Custom filters such as NH%, SH%, F% can be tested when the source layer carries those refs.</x:v>
      </x:c>
      <x:c r="I7" s="25" t="str">
        <x:v>ROAD_REF_FILTER</x:v>
      </x:c>
    </x:row>
    <x:row r="8">
      <x:c r="A8" s="25" t="s">
        <x:v>73</x:v>
      </x:c>
      <x:c r="B8" s="25">
        <x:v>0</x:v>
      </x:c>
      <x:c r="C8" s="25"/>
      <x:c r="D8" s="25"/>
      <x:c r="E8" s="25" t="s">
        <x:v>38</x:v>
      </x:c>
      <x:c r="F8" s="25" t="s">
        <x:v>74</x:v>
      </x:c>
      <x:c r="G8" s="25" t="s">
        <x:v>75</x:v>
      </x:c>
      <x:c r="H8" s="25" t="s">
        <x:v>76</x:v>
      </x:c>
      <x:c r="I8" s="25" t="s">
        <x:v>77</x:v>
      </x:c>
    </x:row>
    <x:row r="9" ht="30" customHeight="1">
      <x:c r="A9" s="25" t="s">
        <x:v>78</x:v>
      </x:c>
      <x:c r="B9" s="25">
        <x:v>0</x:v>
      </x:c>
      <x:c r="C9" s="25"/>
      <x:c r="D9" s="25"/>
      <x:c r="E9" s="25" t="s">
        <x:v>38</x:v>
      </x:c>
      <x:c r="F9" s="25" t="s">
        <x:v>74</x:v>
      </x:c>
      <x:c r="G9" s="25" t="s">
        <x:v>79</x:v>
      </x:c>
      <x:c r="H9" s="25" t="s">
        <x:v>80</x:v>
      </x:c>
      <x:c r="I9" s="25" t="s">
        <x:v>81</x:v>
      </x:c>
    </x:row>
    <x:row r="10" ht="30" customHeight="1">
      <x:c r="A10" s="25" t="str">
        <x:v>Topology connector speed km/h</x:v>
      </x:c>
      <x:c r="B10" s="25">
        <x:v>40</x:v>
      </x:c>
      <x:c r="C10" s="25"/>
      <x:c r="D10" s="25"/>
      <x:c r="E10" s="25" t="s">
        <x:v>38</x:v>
      </x:c>
      <x:c r="F10" s="25" t="s">
        <x:v>82</x:v>
      </x:c>
      <x:c r="G10" s="25" t="s">
        <x:v>83</x:v>
      </x:c>
      <x:c r="H10" s="25" t="str">
        <x:v>Analysis-only connector speed. Physical road speed comes from Nepal.gpkg design_speed_kmh and the mean speed factor.</x:v>
      </x:c>
      <x:c r="I10" s="25" t="s">
        <x:v>84</x:v>
      </x:c>
    </x:row>
    <x:row r="11" ht="30" customHeight="1">
      <x:c r="A11" s="25" t="s">
        <x:v>85</x:v>
      </x:c>
      <x:c r="B11" s="25">
        <x:v>1E-3</x:v>
      </x:c>
      <x:c r="C11" s="25"/>
      <x:c r="D11" s="25"/>
      <x:c r="E11" s="25" t="s">
        <x:v>38</x:v>
      </x:c>
      <x:c r="F11" s="25" t="s">
        <x:v>86</x:v>
      </x:c>
      <x:c r="G11" s="25" t="s">
        <x:v>83</x:v>
      </x:c>
      <x:c r="H11" s="25" t="s">
        <x:v>87</x:v>
      </x:c>
      <x:c r="I11" s="25" t="s">
        <x:v>88</x:v>
      </x:c>
    </x:row>
    <x:row r="12">
      <x:c r="A12" s="25" t="s">
        <x:v>89</x:v>
      </x:c>
      <x:c r="B12" s="25">
        <x:v>200</x:v>
      </x:c>
      <x:c r="C12" s="25"/>
      <x:c r="D12" s="25"/>
      <x:c r="E12" s="25" t="s">
        <x:v>38</x:v>
      </x:c>
      <x:c r="F12" s="25" t="s">
        <x:v>90</x:v>
      </x:c>
      <x:c r="G12" s="25" t="s">
        <x:v>83</x:v>
      </x:c>
      <x:c r="H12" s="25" t="s">
        <x:v>91</x:v>
      </x:c>
      <x:c r="I12" s="25" t="s">
        <x:v>92</x:v>
      </x:c>
    </x:row>
    <x:row r="13" ht="30" customHeight="1">
      <x:c r="A13" s="25" t="s">
        <x:v>93</x:v>
      </x:c>
      <x:c r="B13" s="25">
        <x:v>0</x:v>
      </x:c>
      <x:c r="C13" s="25"/>
      <x:c r="D13" s="25"/>
      <x:c r="E13" s="25" t="s">
        <x:v>38</x:v>
      </x:c>
      <x:c r="F13" s="25" t="s">
        <x:v>94</x:v>
      </x:c>
      <x:c r="G13" s="25" t="s">
        <x:v>95</x:v>
      </x:c>
      <x:c r="H13" s="25" t="s">
        <x:v>96</x:v>
      </x:c>
      <x:c r="I13" s="25" t="s">
        <x:v>97</x:v>
      </x:c>
    </x:row>
    <x:row r="14" ht="30" customHeight="1">
      <x:c r="A14" s="25" t="s">
        <x:v>98</x:v>
      </x:c>
      <x:c r="B14" s="25">
        <x:v>4</x:v>
      </x:c>
      <x:c r="C14" s="25"/>
      <x:c r="D14" s="25"/>
      <x:c r="E14" s="25" t="s">
        <x:v>38</x:v>
      </x:c>
      <x:c r="F14" s="25" t="s">
        <x:v>94</x:v>
      </x:c>
      <x:c r="G14" s="25" t="s">
        <x:v>99</x:v>
      </x:c>
      <x:c r="H14" s="25" t="str">
        <x:v>Parameter applies when alpha is positive in a calibrated congestion scenario.</x:v>
      </x:c>
      <x:c r="I14" s="25" t="s">
        <x:v>100</x:v>
      </x:c>
    </x:row>
    <x:row r="15" ht="30" customHeight="1">
      <x:c r="A15" s="25" t="str">
        <x:v>Mean speed factor</x:v>
      </x:c>
      <x:c r="B15" s="25" t="n">
        <x:v>0.4</x:v>
      </x:c>
      <x:c r="C15" s="25" t="n">
        <x:v>0.25</x:v>
      </x:c>
      <x:c r="D15" s="25" t="n">
        <x:v>0.6</x:v>
      </x:c>
      <x:c r="E15" s="25" t="str">
        <x:v>Deterministic</x:v>
      </x:c>
      <x:c r="F15" s="25" t="str">
        <x:v>ratio</x:v>
      </x:c>
      <x:c r="G15" s="25" t="str">
        <x:v>Current impedance assumption</x:v>
      </x:c>
      <x:c r="H15" s="25" t="str">
        <x:v>Average operating speed is computed as V_avg = factor * design_speed_kmh; current factor is 0.40.</x:v>
      </x:c>
      <x:c r="I15" s="25" t="str">
        <x:v>MEAN_SPEED_FACTOR</x:v>
      </x:c>
    </x:row>
    <x:row r="16" ht="30" customHeight="1">
      <x:c r="A16" s="25"/>
      <x:c r="B16" s="25"/>
      <x:c r="C16" s="25"/>
      <x:c r="D16" s="25"/>
      <x:c r="E16" s="25"/>
      <x:c r="F16" s="25"/>
      <x:c r="G16" s="25"/>
      <x:c r="H16" s="25"/>
      <x:c r="I16" s="25"/>
    </x:row>
    <x:row r="17" ht="45" customHeight="1">
      <x:c r="A17" s="25" t="s">
        <x:v>101</x:v>
      </x:c>
      <x:c r="B17" s="25">
        <x:v>24</x:v>
      </x:c>
      <x:c r="C17" s="25"/>
      <x:c r="D17" s="25"/>
      <x:c r="E17" s="25" t="s">
        <x:v>38</x:v>
      </x:c>
      <x:c r="F17" s="25" t="s">
        <x:v>102</x:v>
      </x:c>
      <x:c r="G17" s="25" t="s">
        <x:v>83</x:v>
      </x:c>
      <x:c r="H17" s="25" t="s">
        <x:v>103</x:v>
      </x:c>
      <x:c r="I17" s="25" t="s">
        <x:v>104</x:v>
      </x:c>
    </x:row>
    <x:row r="18" ht="30" customHeight="1">
      <x:c r="A18" s="25" t="s">
        <x:v>105</x:v>
      </x:c>
      <x:c r="B18" s="25">
        <x:v>24</x:v>
      </x:c>
      <x:c r="C18" s="25"/>
      <x:c r="D18" s="25"/>
      <x:c r="E18" s="25" t="s">
        <x:v>38</x:v>
      </x:c>
      <x:c r="F18" s="25" t="s">
        <x:v>106</x:v>
      </x:c>
      <x:c r="G18" s="25" t="s">
        <x:v>83</x:v>
      </x:c>
      <x:c r="H18" s="25" t="s">
        <x:v>107</x:v>
      </x:c>
      <x:c r="I18" s="25" t="s">
        <x:v>108</x:v>
      </x:c>
    </x:row>
    <x:row r="19" ht="30" customHeight="1">
      <x:c r="A19" s="25" t="s">
        <x:v>109</x:v>
      </x:c>
      <x:c r="B19" s="25">
        <x:v>0.5</x:v>
      </x:c>
      <x:c r="C19" s="25"/>
      <x:c r="D19" s="25"/>
      <x:c r="E19" s="25" t="s">
        <x:v>38</x:v>
      </x:c>
      <x:c r="F19" s="25" t="s">
        <x:v>74</x:v>
      </x:c>
      <x:c r="G19" s="25" t="s">
        <x:v>110</x:v>
      </x:c>
      <x:c r="H19" s="25" t="s">
        <x:v>111</x:v>
      </x:c>
      <x:c r="I19" s="25" t="s">
        <x:v>112</x:v>
      </x:c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</x:row>
  </x:sheetData>
  <x:mergeCells>
    <x:mergeCell ref="A1:I1"/>
    <x:mergeCell ref="A4:I4"/>
    <x:mergeCell ref="A2:I2"/>
  </x:mergeCells>
  <x:dataValidations count="1">
    <x:dataValidation type="list" allowBlank="1" sqref="E6:E8">
      <x:formula1>"Deterministic,Uniform,Triangular,Normal,LogNormal,Beta,Discrete"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2" style="5" customWidth="1"/>
    <x:col min="2" max="2" width="21" style="5" customWidth="1"/>
    <x:col min="3" max="4" width="11" customWidth="1"/>
    <x:col min="5" max="5" width="15" style="5" hidden="1" customWidth="1"/>
    <x:col min="6" max="6" width="14" style="5" customWidth="1"/>
    <x:col min="7" max="7" width="27" style="5" customWidth="1"/>
    <x:col min="8" max="8" width="54" style="5" customWidth="1"/>
    <x:col min="9" max="9" width="24" style="5" customWidth="1"/>
    <x:col min="10" max="12" width="8.6640625" style="5" customWidth="1"/>
    <x:col min="13" max="16384" width="8.6640625" style="5" customWidth="0"/>
  </x:cols>
  <x:sheetData>
    <x:row r="1" ht="27" customHeight="1">
      <x:c r="A1" s="35" t="s">
        <x:v>113</x:v>
      </x:c>
      <x:c r="B1" s="34"/>
      <x:c r="C1" s="36"/>
      <x:c r="D1" s="36"/>
      <x:c r="E1" s="34"/>
      <x:c r="F1" s="34"/>
      <x:c r="G1" s="34"/>
      <x:c r="H1" s="34"/>
      <x:c r="I1" s="34"/>
    </x:row>
    <x:row r="2" ht="34" customHeight="1">
      <x:c r="A2" s="33" t="s">
        <x:v>114</x:v>
      </x:c>
      <x:c r="B2" s="34"/>
      <x:c r="C2" s="36"/>
      <x:c r="D2" s="36"/>
      <x:c r="E2" s="34"/>
      <x:c r="F2" s="34"/>
      <x:c r="G2" s="34"/>
      <x:c r="H2" s="34"/>
      <x:c r="I2" s="34"/>
    </x:row>
    <x:row r="3" ht="14" customHeight="1">
      <x:c r="C3" s="5"/>
      <x:c r="D3" s="5"/>
    </x:row>
    <x:row r="4" ht="15" customHeight="1">
      <x:c r="A4" s="37" t="s">
        <x:v>115</x:v>
      </x:c>
      <x:c r="B4" s="34"/>
      <x:c r="C4" s="36"/>
      <x:c r="D4" s="36"/>
      <x:c r="E4" s="34"/>
      <x:c r="F4" s="34"/>
      <x:c r="G4" s="34"/>
      <x:c r="H4" s="34"/>
      <x:c r="I4" s="34"/>
    </x:row>
    <x:row r="5" ht="15" customHeight="1">
      <x:c r="A5" s="30" t="s">
        <x:v>27</x:v>
      </x:c>
      <x:c r="B5" s="30" t="s">
        <x:v>28</x:v>
      </x:c>
      <x:c r="C5" s="30" t="s">
        <x:v>29</x:v>
      </x:c>
      <x:c r="D5" s="30" t="s">
        <x:v>30</x:v>
      </x:c>
      <x:c r="E5" s="30" t="s">
        <x:v>31</x:v>
      </x:c>
      <x:c r="F5" s="30" t="s">
        <x:v>32</x:v>
      </x:c>
      <x:c r="G5" s="30" t="s">
        <x:v>33</x:v>
      </x:c>
      <x:c r="H5" s="30" t="s">
        <x:v>34</x:v>
      </x:c>
      <x:c r="I5" s="30" t="s">
        <x:v>35</x:v>
      </x:c>
    </x:row>
    <x:row r="6" ht="23.75" customHeight="1">
      <x:c r="A6" s="25" t="s">
        <x:v>116</x:v>
      </x:c>
      <x:c r="B6" s="25">
        <x:v>5</x:v>
      </x:c>
      <x:c r="C6" s="25"/>
      <x:c r="D6" s="25"/>
      <x:c r="E6" s="25" t="s">
        <x:v>38</x:v>
      </x:c>
      <x:c r="F6" s="25" t="s">
        <x:v>74</x:v>
      </x:c>
      <x:c r="G6" s="25" t="s">
        <x:v>83</x:v>
      </x:c>
      <x:c r="H6" s="25" t="s">
        <x:v>117</x:v>
      </x:c>
      <x:c r="I6" s="25" t="s">
        <x:v>118</x:v>
      </x:c>
    </x:row>
    <x:row r="7" ht="15" customHeight="1">
      <x:c r="A7" s="25" t="s">
        <x:v>119</x:v>
      </x:c>
      <x:c r="B7" s="25">
        <x:v>400</x:v>
      </x:c>
      <x:c r="C7" s="25"/>
      <x:c r="D7" s="25"/>
      <x:c r="E7" s="25" t="s">
        <x:v>38</x:v>
      </x:c>
      <x:c r="F7" s="25" t="s">
        <x:v>82</x:v>
      </x:c>
      <x:c r="G7" s="25" t="s">
        <x:v>83</x:v>
      </x:c>
      <x:c r="H7" s="25" t="s">
        <x:v>120</x:v>
      </x:c>
      <x:c r="I7" s="25" t="s">
        <x:v>121</x:v>
      </x:c>
    </x:row>
    <x:row r="8" ht="15" customHeight="1">
      <x:c r="A8" s="25" t="s">
        <x:v>122</x:v>
      </x:c>
      <x:c r="B8" s="25">
        <x:v>10</x:v>
      </x:c>
      <x:c r="C8" s="25"/>
      <x:c r="D8" s="25"/>
      <x:c r="E8" s="25" t="s">
        <x:v>38</x:v>
      </x:c>
      <x:c r="F8" s="25" t="s">
        <x:v>123</x:v>
      </x:c>
      <x:c r="G8" s="25" t="s">
        <x:v>83</x:v>
      </x:c>
      <x:c r="H8" s="25" t="s">
        <x:v>120</x:v>
      </x:c>
      <x:c r="I8" s="25" t="s">
        <x:v>124</x:v>
      </x:c>
    </x:row>
    <x:row r="9" ht="15" customHeight="1">
      <x:c r="A9" s="25" t="s">
        <x:v>125</x:v>
      </x:c>
      <x:c r="B9" s="25">
        <x:v>4</x:v>
      </x:c>
      <x:c r="C9" s="25"/>
      <x:c r="D9" s="25"/>
      <x:c r="E9" s="25" t="s">
        <x:v>38</x:v>
      </x:c>
      <x:c r="F9" s="25" t="s">
        <x:v>106</x:v>
      </x:c>
      <x:c r="G9" s="25" t="s">
        <x:v>83</x:v>
      </x:c>
      <x:c r="H9" s="25" t="s">
        <x:v>120</x:v>
      </x:c>
      <x:c r="I9" s="25" t="s">
        <x:v>126</x:v>
      </x:c>
    </x:row>
  </x:sheetData>
  <x:mergeCells>
    <x:mergeCell ref="A1:I1"/>
    <x:mergeCell ref="A4:I4"/>
    <x:mergeCell ref="A2:I2"/>
  </x:mergeCells>
  <x:dataValidations count="1">
    <x:dataValidation type="list" allowBlank="1" sqref="E6:E10">
      <x:formula1>"Deterministic,Uniform,Triangular,Normal,LogNormal,Beta,Discrete"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6640625" defaultRowHeight="14"/>
  <x:cols>
    <x:col min="1" max="1" width="42" style="5" customWidth="1"/>
    <x:col min="2" max="2" width="18" style="5" customWidth="1"/>
    <x:col min="3" max="4" width="14" style="5" customWidth="1"/>
    <x:col min="5" max="5" width="16" style="5" hidden="1" customWidth="1"/>
    <x:col min="6" max="6" width="12" style="5" customWidth="1"/>
    <x:col min="7" max="7" width="42" style="5" customWidth="1"/>
    <x:col min="8" max="8" width="50" style="5" customWidth="1"/>
    <x:col min="9" max="9" width="24" style="5" customWidth="1"/>
    <x:col min="10" max="12" width="8.6640625" style="5" customWidth="1"/>
    <x:col min="13" max="16384" width="8.6640625" style="5" customWidth="0"/>
  </x:cols>
  <x:sheetData>
    <x:row r="1" ht="37" customHeight="1">
      <x:c r="A1" s="38" t="s">
        <x:v>127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41" t="s">
        <x:v>128</x:v>
      </x:c>
      <x:c r="B2" s="34"/>
      <x:c r="C2" s="34"/>
      <x:c r="D2" s="34"/>
      <x:c r="E2" s="34"/>
      <x:c r="F2" s="34"/>
      <x:c r="G2" s="34"/>
      <x:c r="H2" s="34"/>
      <x:c r="I2" s="34"/>
    </x:row>
    <x:row r="4" ht="20" customHeight="1">
      <x:c r="A4" s="39" t="s">
        <x:v>129</x:v>
      </x:c>
      <x:c r="B4" s="40"/>
      <x:c r="C4" s="40"/>
      <x:c r="D4" s="40"/>
      <x:c r="E4" s="40"/>
      <x:c r="F4" s="40"/>
      <x:c r="G4" s="40"/>
      <x:c r="H4" s="40"/>
      <x:c r="I4" s="40"/>
    </x:row>
    <x:row r="5" ht="20" customHeight="1">
      <x:c r="A5" s="21" t="s">
        <x:v>27</x:v>
      </x:c>
      <x:c r="B5" s="21" t="s">
        <x:v>28</x:v>
      </x:c>
      <x:c r="C5" s="21" t="s">
        <x:v>29</x:v>
      </x:c>
      <x:c r="D5" s="21" t="s">
        <x:v>30</x:v>
      </x:c>
      <x:c r="E5" s="21" t="s">
        <x:v>31</x:v>
      </x:c>
      <x:c r="F5" s="21" t="s">
        <x:v>32</x:v>
      </x:c>
      <x:c r="G5" s="21" t="s">
        <x:v>33</x:v>
      </x:c>
      <x:c r="H5" s="21" t="s">
        <x:v>34</x:v>
      </x:c>
      <x:c r="I5" s="21" t="s">
        <x:v>35</x:v>
      </x:c>
    </x:row>
    <x:row r="6" ht="20" customHeight="1">
      <x:c r="A6" s="6" t="s">
        <x:v>130</x:v>
      </x:c>
      <x:c r="B6" s="10">
        <x:v>0.35</x:v>
      </x:c>
      <x:c r="C6" s="7">
        <x:v>0.2</x:v>
      </x:c>
      <x:c r="D6" s="7">
        <x:v>0.5</x:v>
      </x:c>
      <x:c r="E6" s="6" t="s">
        <x:v>131</x:v>
      </x:c>
      <x:c r="F6" s="6" t="s">
        <x:v>132</x:v>
      </x:c>
      <x:c r="G6" s="6" t="s">
        <x:v>133</x:v>
      </x:c>
      <x:c r="H6" s="6" t="s">
        <x:v>134</x:v>
      </x:c>
      <x:c r="I6" s="6" t="s">
        <x:v>135</x:v>
      </x:c>
    </x:row>
    <x:row r="7" ht="20" customHeight="1">
      <x:c r="A7" s="8" t="s">
        <x:v>136</x:v>
      </x:c>
      <x:c r="B7" s="10">
        <x:v>0.25</x:v>
      </x:c>
      <x:c r="C7" s="9">
        <x:v>0.15</x:v>
      </x:c>
      <x:c r="D7" s="9">
        <x:v>0.35</x:v>
      </x:c>
      <x:c r="E7" s="8" t="s">
        <x:v>131</x:v>
      </x:c>
      <x:c r="F7" s="8" t="s">
        <x:v>132</x:v>
      </x:c>
      <x:c r="G7" s="8" t="s">
        <x:v>133</x:v>
      </x:c>
      <x:c r="H7" s="8"/>
      <x:c r="I7" s="8" t="s">
        <x:v>137</x:v>
      </x:c>
    </x:row>
    <x:row r="8" ht="20" customHeight="1">
      <x:c r="A8" s="6" t="s">
        <x:v>138</x:v>
      </x:c>
      <x:c r="B8" s="10">
        <x:v>0.25</x:v>
      </x:c>
      <x:c r="C8" s="7">
        <x:v>0.15</x:v>
      </x:c>
      <x:c r="D8" s="7">
        <x:v>0.35</x:v>
      </x:c>
      <x:c r="E8" s="6" t="s">
        <x:v>131</x:v>
      </x:c>
      <x:c r="F8" s="6" t="s">
        <x:v>132</x:v>
      </x:c>
      <x:c r="G8" s="6" t="s">
        <x:v>133</x:v>
      </x:c>
      <x:c r="H8" s="6"/>
      <x:c r="I8" s="6" t="s">
        <x:v>139</x:v>
      </x:c>
    </x:row>
    <x:row r="9" ht="20" customHeight="1">
      <x:c r="A9" s="8" t="s">
        <x:v>140</x:v>
      </x:c>
      <x:c r="B9" s="10">
        <x:v>0.15</x:v>
      </x:c>
      <x:c r="C9" s="9">
        <x:v>0.05</x:v>
      </x:c>
      <x:c r="D9" s="9">
        <x:v>0.25</x:v>
      </x:c>
      <x:c r="E9" s="8" t="s">
        <x:v>131</x:v>
      </x:c>
      <x:c r="F9" s="8" t="s">
        <x:v>132</x:v>
      </x:c>
      <x:c r="G9" s="8" t="s">
        <x:v>133</x:v>
      </x:c>
      <x:c r="H9" s="8"/>
      <x:c r="I9" s="8" t="s">
        <x:v>141</x:v>
      </x:c>
    </x:row>
    <x:row r="11" ht="20" customHeight="1">
      <x:c r="A11" s="39" t="s">
        <x:v>142</x:v>
      </x:c>
      <x:c r="B11" s="40"/>
      <x:c r="C11" s="40"/>
      <x:c r="D11" s="40"/>
      <x:c r="E11" s="40"/>
      <x:c r="F11" s="40"/>
      <x:c r="G11" s="40"/>
      <x:c r="H11" s="40"/>
      <x:c r="I11" s="40"/>
    </x:row>
    <x:row r="12" ht="20" customHeight="1">
      <x:c r="A12" s="11" t="s">
        <x:v>27</x:v>
      </x:c>
      <x:c r="B12" s="11" t="s">
        <x:v>28</x:v>
      </x:c>
      <x:c r="C12" s="11" t="s">
        <x:v>29</x:v>
      </x:c>
      <x:c r="D12" s="11" t="s">
        <x:v>30</x:v>
      </x:c>
      <x:c r="E12" s="11" t="s">
        <x:v>31</x:v>
      </x:c>
      <x:c r="F12" s="11" t="s">
        <x:v>32</x:v>
      </x:c>
      <x:c r="G12" s="11" t="s">
        <x:v>33</x:v>
      </x:c>
      <x:c r="H12" s="11" t="s">
        <x:v>34</x:v>
      </x:c>
      <x:c r="I12" s="11" t="s">
        <x:v>35</x:v>
      </x:c>
    </x:row>
    <x:row r="13" ht="31.75" customHeight="1">
      <x:c r="A13" s="6" t="s">
        <x:v>143</x:v>
      </x:c>
      <x:c r="B13" s="7">
        <x:v>0.47299999999999998</x:v>
      </x:c>
      <x:c r="C13" s="7">
        <x:v>0.4</x:v>
      </x:c>
      <x:c r="D13" s="7">
        <x:v>0.55000000000000004</x:v>
      </x:c>
      <x:c r="E13" s="6" t="s">
        <x:v>131</x:v>
      </x:c>
      <x:c r="F13" s="6" t="s">
        <x:v>132</x:v>
      </x:c>
      <x:c r="G13" s="6" t="s">
        <x:v>144</x:v>
      </x:c>
      <x:c r="H13" s="6" t="s">
        <x:v>145</x:v>
      </x:c>
      <x:c r="I13" s="6" t="s">
        <x:v>146</x:v>
      </x:c>
    </x:row>
    <x:row r="14" ht="20" customHeight="1">
      <x:c r="A14" s="8" t="s">
        <x:v>147</x:v>
      </x:c>
      <x:c r="B14" s="9">
        <x:v>0.17</x:v>
      </x:c>
      <x:c r="C14" s="9">
        <x:v>0.12</x:v>
      </x:c>
      <x:c r="D14" s="9">
        <x:v>0.22</x:v>
      </x:c>
      <x:c r="E14" s="8" t="s">
        <x:v>131</x:v>
      </x:c>
      <x:c r="F14" s="8" t="s">
        <x:v>132</x:v>
      </x:c>
      <x:c r="G14" s="8" t="s">
        <x:v>148</x:v>
      </x:c>
      <x:c r="H14" s="8"/>
      <x:c r="I14" s="8" t="s">
        <x:v>149</x:v>
      </x:c>
    </x:row>
    <x:row r="15" ht="20" customHeight="1">
      <x:c r="A15" s="6" t="s">
        <x:v>150</x:v>
      </x:c>
      <x:c r="B15" s="7">
        <x:v>0.28399999999999997</x:v>
      </x:c>
      <x:c r="C15" s="7">
        <x:v>0.22</x:v>
      </x:c>
      <x:c r="D15" s="7">
        <x:v>0.35</x:v>
      </x:c>
      <x:c r="E15" s="6" t="s">
        <x:v>131</x:v>
      </x:c>
      <x:c r="F15" s="6" t="s">
        <x:v>132</x:v>
      </x:c>
      <x:c r="G15" s="6" t="s">
        <x:v>148</x:v>
      </x:c>
      <x:c r="H15" s="6"/>
      <x:c r="I15" s="6" t="s">
        <x:v>151</x:v>
      </x:c>
    </x:row>
    <x:row r="16" ht="31.75" customHeight="1">
      <x:c r="A16" s="8" t="s">
        <x:v>152</x:v>
      </x:c>
      <x:c r="B16" s="9">
        <x:v>7.2999999999999995E-2</x:v>
      </x:c>
      <x:c r="C16" s="9">
        <x:v>0.04</x:v>
      </x:c>
      <x:c r="D16" s="9">
        <x:v>0.11</x:v>
      </x:c>
      <x:c r="E16" s="8" t="s">
        <x:v>131</x:v>
      </x:c>
      <x:c r="F16" s="8" t="s">
        <x:v>132</x:v>
      </x:c>
      <x:c r="G16" s="8" t="s">
        <x:v>148</x:v>
      </x:c>
      <x:c r="H16" s="8"/>
      <x:c r="I16" s="8" t="s">
        <x:v>153</x:v>
      </x:c>
    </x:row>
    <x:row r="18" ht="20" customHeight="1">
      <x:c r="A18" s="12" t="s">
        <x:v>154</x:v>
      </x:c>
      <x:c r="B18" s="13" t="n">
        <x:f>SUM(B6:B9)</x:f>
        <x:v>1</x:v>
      </x:c>
    </x:row>
    <x:row r="19" ht="20" customHeight="1">
      <x:c r="A19" s="12" t="s">
        <x:v>155</x:v>
      </x:c>
      <x:c r="B19" s="13" t="n">
        <x:f>SUM(B13:B16)</x:f>
        <x:v>1</x:v>
      </x:c>
    </x:row>
  </x:sheetData>
  <x:mergeCells>
    <x:mergeCell ref="A1:I1"/>
    <x:mergeCell ref="A4:I4"/>
    <x:mergeCell ref="A2:I2"/>
    <x:mergeCell ref="A11:I11"/>
  </x:mergeCells>
  <x:dataValidations count="1">
    <x:dataValidation type="list" allowBlank="1" sqref="E6:E15">
      <x:formula1>"Deterministic,Uniform,Triangular,Normal,LogNormal,Beta,Discrete"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2" style="5" customWidth="1"/>
    <x:col min="2" max="2" width="21" style="5" customWidth="1"/>
    <x:col min="3" max="4" width="11" customWidth="1"/>
    <x:col min="5" max="5" width="15" style="5" hidden="1" customWidth="1"/>
    <x:col min="6" max="6" width="14" style="5" customWidth="1"/>
    <x:col min="7" max="7" width="27" style="5" customWidth="1"/>
    <x:col min="8" max="8" width="54" style="5" customWidth="1"/>
    <x:col min="9" max="9" width="24" style="5" customWidth="1"/>
    <x:col min="10" max="12" width="8.6640625" style="5" customWidth="1"/>
    <x:col min="13" max="16384" width="8.6640625" style="5" customWidth="0"/>
  </x:cols>
  <x:sheetData>
    <x:row r="1" ht="27" customHeight="1">
      <x:c r="A1" s="35" t="s">
        <x:v>156</x:v>
      </x:c>
      <x:c r="B1" s="34"/>
      <x:c r="C1" s="36"/>
      <x:c r="D1" s="36"/>
      <x:c r="E1" s="34"/>
      <x:c r="F1" s="34"/>
      <x:c r="G1" s="34"/>
      <x:c r="H1" s="34"/>
      <x:c r="I1" s="34"/>
    </x:row>
    <x:row r="2" ht="34" customHeight="1">
      <x:c r="A2" s="33" t="s">
        <x:v>157</x:v>
      </x:c>
      <x:c r="B2" s="34"/>
      <x:c r="C2" s="36"/>
      <x:c r="D2" s="36"/>
      <x:c r="E2" s="34"/>
      <x:c r="F2" s="34"/>
      <x:c r="G2" s="34"/>
      <x:c r="H2" s="34"/>
      <x:c r="I2" s="34"/>
    </x:row>
    <x:row r="3" ht="14" customHeight="1">
      <x:c r="C3" s="5"/>
      <x:c r="D3" s="5"/>
    </x:row>
    <x:row r="4" ht="15" customHeight="1">
      <x:c r="A4" s="37" t="s">
        <x:v>158</x:v>
      </x:c>
      <x:c r="B4" s="34"/>
      <x:c r="C4" s="36"/>
      <x:c r="D4" s="36"/>
      <x:c r="E4" s="34"/>
      <x:c r="F4" s="34"/>
      <x:c r="G4" s="34"/>
      <x:c r="H4" s="34"/>
      <x:c r="I4" s="34"/>
    </x:row>
    <x:row r="5" ht="15" customHeight="1">
      <x:c r="A5" s="30" t="s">
        <x:v>27</x:v>
      </x:c>
      <x:c r="B5" s="30" t="s">
        <x:v>28</x:v>
      </x:c>
      <x:c r="C5" s="30" t="s">
        <x:v>29</x:v>
      </x:c>
      <x:c r="D5" s="30" t="s">
        <x:v>30</x:v>
      </x:c>
      <x:c r="E5" s="30" t="s">
        <x:v>31</x:v>
      </x:c>
      <x:c r="F5" s="30" t="s">
        <x:v>32</x:v>
      </x:c>
      <x:c r="G5" s="30" t="s">
        <x:v>33</x:v>
      </x:c>
      <x:c r="H5" s="30" t="s">
        <x:v>34</x:v>
      </x:c>
      <x:c r="I5" s="30" t="s">
        <x:v>35</x:v>
      </x:c>
    </x:row>
    <x:row r="6" ht="23.75" customHeight="1">
      <x:c r="A6" s="25" t="s">
        <x:v>159</x:v>
      </x:c>
      <x:c r="B6" s="25">
        <x:v>0.7</x:v>
      </x:c>
      <x:c r="C6" s="25"/>
      <x:c r="D6" s="25"/>
      <x:c r="E6" s="25" t="s">
        <x:v>38</x:v>
      </x:c>
      <x:c r="F6" s="25" t="s">
        <x:v>132</x:v>
      </x:c>
      <x:c r="G6" s="25" t="s">
        <x:v>160</x:v>
      </x:c>
      <x:c r="H6" s="25" t="s">
        <x:v>161</x:v>
      </x:c>
      <x:c r="I6" s="25" t="s">
        <x:v>162</x:v>
      </x:c>
    </x:row>
    <x:row r="7" ht="15" customHeight="1">
      <x:c r="A7" s="25" t="s">
        <x:v>163</x:v>
      </x:c>
      <x:c r="B7" s="25">
        <x:v>0.3</x:v>
      </x:c>
      <x:c r="C7" s="25"/>
      <x:c r="D7" s="25"/>
      <x:c r="E7" s="25" t="s">
        <x:v>38</x:v>
      </x:c>
      <x:c r="F7" s="25" t="s">
        <x:v>132</x:v>
      </x:c>
      <x:c r="G7" s="25" t="s">
        <x:v>160</x:v>
      </x:c>
      <x:c r="H7" s="25" t="s">
        <x:v>164</x:v>
      </x:c>
      <x:c r="I7" s="25" t="s">
        <x:v>165</x:v>
      </x:c>
    </x:row>
    <x:row r="8" ht="30" customHeight="1">
      <x:c r="A8" s="25" t="s">
        <x:v>166</x:v>
      </x:c>
      <x:c r="B8" s="25">
        <x:v>0.4</x:v>
      </x:c>
      <x:c r="C8" s="25"/>
      <x:c r="D8" s="25"/>
      <x:c r="E8" s="25" t="s">
        <x:v>38</x:v>
      </x:c>
      <x:c r="F8" s="25" t="s">
        <x:v>132</x:v>
      </x:c>
      <x:c r="G8" s="25" t="s">
        <x:v>160</x:v>
      </x:c>
      <x:c r="H8" s="25" t="s">
        <x:v>167</x:v>
      </x:c>
      <x:c r="I8" s="25" t="s">
        <x:v>168</x:v>
      </x:c>
    </x:row>
    <x:row r="9" ht="15" customHeight="1">
      <x:c r="A9" s="25" t="s">
        <x:v>169</x:v>
      </x:c>
      <x:c r="B9" s="25">
        <x:v>0.6</x:v>
      </x:c>
      <x:c r="C9" s="25"/>
      <x:c r="D9" s="25"/>
      <x:c r="E9" s="25" t="s">
        <x:v>38</x:v>
      </x:c>
      <x:c r="F9" s="25" t="s">
        <x:v>132</x:v>
      </x:c>
      <x:c r="G9" s="25" t="s">
        <x:v>160</x:v>
      </x:c>
      <x:c r="H9" s="25" t="s">
        <x:v>170</x:v>
      </x:c>
      <x:c r="I9" s="25" t="s">
        <x:v>171</x:v>
      </x:c>
    </x:row>
    <x:row r="10" ht="15" customHeight="1">
      <x:c r="A10" s="25" t="s">
        <x:v>172</x:v>
      </x:c>
      <x:c r="B10" s="25">
        <x:v>0.46</x:v>
      </x:c>
      <x:c r="C10" s="25"/>
      <x:c r="D10" s="25"/>
      <x:c r="E10" s="25" t="s">
        <x:v>38</x:v>
      </x:c>
      <x:c r="F10" s="25" t="s">
        <x:v>132</x:v>
      </x:c>
      <x:c r="G10" s="25" t="s">
        <x:v>160</x:v>
      </x:c>
      <x:c r="H10" s="25" t="s">
        <x:v>173</x:v>
      </x:c>
      <x:c r="I10" s="25" t="s">
        <x:v>174</x:v>
      </x:c>
    </x:row>
    <x:row r="11" ht="15" customHeight="1">
      <x:c r="A11" s="25" t="s">
        <x:v>175</x:v>
      </x:c>
      <x:c r="B11" s="25">
        <x:v>0.54</x:v>
      </x:c>
      <x:c r="C11" s="25"/>
      <x:c r="D11" s="25"/>
      <x:c r="E11" s="25" t="s">
        <x:v>38</x:v>
      </x:c>
      <x:c r="F11" s="25" t="s">
        <x:v>132</x:v>
      </x:c>
      <x:c r="G11" s="25" t="s">
        <x:v>160</x:v>
      </x:c>
      <x:c r="H11" s="25" t="s">
        <x:v>176</x:v>
      </x:c>
      <x:c r="I11" s="25" t="s">
        <x:v>177</x:v>
      </x:c>
    </x:row>
    <x:row r="12" ht="15" customHeight="1">
      <x:c r="A12" s="25" t="s">
        <x:v>178</x:v>
      </x:c>
      <x:c r="B12" s="25">
        <x:v>0.35</x:v>
      </x:c>
      <x:c r="C12" s="25"/>
      <x:c r="D12" s="25"/>
      <x:c r="E12" s="25" t="s">
        <x:v>38</x:v>
      </x:c>
      <x:c r="F12" s="25" t="s">
        <x:v>132</x:v>
      </x:c>
      <x:c r="G12" s="25" t="s">
        <x:v>160</x:v>
      </x:c>
      <x:c r="H12" s="25" t="s">
        <x:v>179</x:v>
      </x:c>
      <x:c r="I12" s="25" t="s">
        <x:v>180</x:v>
      </x:c>
    </x:row>
    <x:row r="13" ht="30" customHeight="1">
      <x:c r="A13" s="25" t="s">
        <x:v>181</x:v>
      </x:c>
      <x:c r="B13" s="25">
        <x:v>0.65</x:v>
      </x:c>
      <x:c r="C13" s="25"/>
      <x:c r="D13" s="25"/>
      <x:c r="E13" s="25" t="s">
        <x:v>38</x:v>
      </x:c>
      <x:c r="F13" s="25" t="s">
        <x:v>132</x:v>
      </x:c>
      <x:c r="G13" s="25" t="s">
        <x:v>160</x:v>
      </x:c>
      <x:c r="H13" s="25" t="s">
        <x:v>182</x:v>
      </x:c>
      <x:c r="I13" s="25" t="s">
        <x:v>183</x:v>
      </x:c>
    </x:row>
    <x:row r="15" ht="15" customHeight="1"/>
    <x:row r="16" ht="15" customHeight="1"/>
    <x:row r="17" ht="23.75" customHeight="1"/>
    <x:row r="18" ht="15" customHeight="1"/>
    <x:row r="19" ht="15" customHeight="1"/>
    <x:row r="21" ht="15" customHeight="1"/>
    <x:row r="22" ht="15" customHeight="1"/>
    <x:row r="23" ht="15" customHeight="1"/>
    <x:row r="24" ht="15" customHeight="1"/>
    <x:row r="25" ht="15" customHeight="1"/>
    <x:row r="27" ht="15" customHeight="1"/>
    <x:row r="28" ht="15" customHeight="1"/>
    <x:row r="29" ht="15" customHeight="1"/>
    <x:row r="30" ht="15" customHeight="1"/>
  </x:sheetData>
  <x:mergeCells>
    <x:mergeCell ref="A1:I1"/>
    <x:mergeCell ref="A4:I4"/>
    <x:mergeCell ref="A2:I2"/>
  </x:mergeCells>
  <x:dataValidations count="1">
    <x:dataValidation type="list" allowBlank="1" sqref="E6:E27">
      <x:formula1>"Deterministic,Uniform,Triangular,Normal,LogNormal,Beta,Discrete"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6640625" defaultRowHeight="15"/>
  <x:cols>
    <x:col min="1" max="1" width="34" style="5" customWidth="1"/>
    <x:col min="2" max="2" width="22" style="5" customWidth="1"/>
    <x:col min="3" max="3" width="12" style="5" customWidth="1"/>
    <x:col min="4" max="4" width="12" customWidth="1"/>
    <x:col min="5" max="5" width="16" style="5" hidden="1" customWidth="1"/>
    <x:col min="6" max="6" width="14" style="5" customWidth="1"/>
    <x:col min="7" max="7" width="26" style="5" customWidth="1"/>
    <x:col min="8" max="8" width="58" style="5" customWidth="1"/>
    <x:col min="9" max="9" width="24" style="5" customWidth="1"/>
    <x:col min="10" max="12" width="8.6640625" style="5" customWidth="1"/>
    <x:col min="13" max="16384" width="8.6640625" style="5" customWidth="0"/>
  </x:cols>
  <x:sheetData>
    <x:row r="1" ht="37" customHeight="1">
      <x:c r="A1" s="26" t="s">
        <x:v>184</x:v>
      </x:c>
      <x:c r="D1" s="5"/>
    </x:row>
    <x:row r="2" ht="26" customHeight="1">
      <x:c r="A2" s="5" t="s">
        <x:v>185</x:v>
      </x:c>
      <x:c r="D2" s="5"/>
    </x:row>
    <x:row r="3" ht="14" customHeight="1">
      <x:c r="D3" s="5"/>
    </x:row>
    <x:row r="4" ht="20" customHeight="1">
      <x:c r="A4" s="27" t="s">
        <x:v>186</x:v>
      </x:c>
      <x:c r="D4" s="5"/>
    </x:row>
    <x:row r="5" ht="20" customHeight="1">
      <x:c r="A5" s="28" t="s">
        <x:v>27</x:v>
      </x:c>
      <x:c r="B5" s="28" t="s">
        <x:v>28</x:v>
      </x:c>
      <x:c r="C5" s="28" t="s">
        <x:v>29</x:v>
      </x:c>
      <x:c r="D5" s="28" t="s">
        <x:v>30</x:v>
      </x:c>
      <x:c r="E5" s="28" t="s">
        <x:v>31</x:v>
      </x:c>
      <x:c r="F5" s="28" t="s">
        <x:v>32</x:v>
      </x:c>
      <x:c r="G5" s="28" t="s">
        <x:v>33</x:v>
      </x:c>
      <x:c r="H5" s="28" t="s">
        <x:v>34</x:v>
      </x:c>
      <x:c r="I5" s="28" t="s">
        <x:v>35</x:v>
      </x:c>
    </x:row>
    <x:row r="6" ht="31.75" customHeight="1">
      <x:c r="A6" s="29" t="s">
        <x:v>187</x:v>
      </x:c>
      <x:c r="B6" s="29">
        <x:v>1.5</x:v>
      </x:c>
      <x:c r="C6" s="29"/>
      <x:c r="D6" s="29"/>
      <x:c r="E6" s="29" t="s">
        <x:v>38</x:v>
      </x:c>
      <x:c r="F6" s="29" t="s">
        <x:v>94</x:v>
      </x:c>
      <x:c r="G6" s="29" t="s">
        <x:v>188</x:v>
      </x:c>
      <x:c r="H6" s="29" t="s">
        <x:v>189</x:v>
      </x:c>
      <x:c r="I6" s="29" t="s">
        <x:v>190</x:v>
      </x:c>
    </x:row>
    <x:row r="7" ht="31.75" customHeight="1">
      <x:c r="A7" s="29" t="s">
        <x:v>191</x:v>
      </x:c>
      <x:c r="B7" s="29">
        <x:v>0.22</x:v>
      </x:c>
      <x:c r="C7" s="29"/>
      <x:c r="D7" s="29"/>
      <x:c r="E7" s="29" t="s">
        <x:v>38</x:v>
      </x:c>
      <x:c r="F7" s="29" t="s">
        <x:v>192</x:v>
      </x:c>
      <x:c r="G7" s="29" t="s">
        <x:v>188</x:v>
      </x:c>
      <x:c r="H7" s="29" t="s">
        <x:v>193</x:v>
      </x:c>
      <x:c r="I7" s="29" t="s">
        <x:v>194</x:v>
      </x:c>
    </x:row>
    <x:row r="8" ht="31.75" customHeight="1">
      <x:c r="A8" s="29"/>
      <x:c r="B8" s="29"/>
      <x:c r="C8" s="29"/>
      <x:c r="D8" s="29"/>
      <x:c r="E8" s="29"/>
      <x:c r="F8" s="29"/>
      <x:c r="G8" s="29"/>
      <x:c r="H8" s="29"/>
      <x:c r="I8" s="29" t="str">
        <x:v>REMOVED</x:v>
      </x:c>
    </x:row>
    <x:row r="9" ht="31.75" customHeight="1">
      <x:c r="A9" s="29" t="s">
        <x:v>195</x:v>
      </x:c>
      <x:c r="B9" s="29">
        <x:v>8</x:v>
      </x:c>
      <x:c r="C9" s="29"/>
      <x:c r="D9" s="29"/>
      <x:c r="E9" s="29"/>
      <x:c r="F9" s="29" t="s">
        <x:v>106</x:v>
      </x:c>
      <x:c r="G9" s="29" t="s">
        <x:v>83</x:v>
      </x:c>
      <x:c r="H9" s="29" t="str">
        <x:v>Hansen-style access denominator used in gateway-access calculations.</x:v>
      </x:c>
      <x:c r="I9" s="29" t="s">
        <x:v>196</x:v>
      </x:c>
    </x:row>
    <x:row r="10" ht="20" customHeight="1">
      <x:c r="A10" s="29"/>
      <x:c r="B10" s="29"/>
      <x:c r="C10" s="29"/>
      <x:c r="D10" s="29"/>
      <x:c r="E10" s="29"/>
      <x:c r="F10" s="29"/>
      <x:c r="G10" s="29"/>
      <x:c r="H10" s="29"/>
      <x:c r="I10" s="29" t="s">
        <x:v>197</x:v>
      </x:c>
    </x:row>
    <x:row r="11" ht="31.75" customHeight="1">
      <x:c r="A11" s="29" t="s">
        <x:v>198</x:v>
      </x:c>
      <x:c r="B11" s="29">
        <x:v>2</x:v>
      </x:c>
      <x:c r="C11" s="29"/>
      <x:c r="D11" s="29"/>
      <x:c r="E11" s="29"/>
      <x:c r="F11" s="29" t="s">
        <x:v>86</x:v>
      </x:c>
      <x:c r="G11" s="29" t="s">
        <x:v>83</x:v>
      </x:c>
      <x:c r="H11" s="29" t="s">
        <x:v>199</x:v>
      </x:c>
      <x:c r="I11" s="29" t="s">
        <x:v>200</x:v>
      </x:c>
    </x:row>
    <x:row r="12" ht="20" customHeight="1">
      <x:c r="A12" s="29" t="s">
        <x:v>201</x:v>
      </x:c>
      <x:c r="B12" s="29" t="b">
        <x:v>1</x:v>
      </x:c>
      <x:c r="C12" s="29"/>
      <x:c r="D12" s="29"/>
      <x:c r="E12" s="29"/>
      <x:c r="F12" s="29" t="s">
        <x:v>202</x:v>
      </x:c>
      <x:c r="G12" s="29" t="s">
        <x:v>83</x:v>
      </x:c>
      <x:c r="H12" s="29" t="s">
        <x:v>203</x:v>
      </x:c>
      <x:c r="I12" s="29" t="s">
        <x:v>204</x:v>
      </x:c>
    </x:row>
    <x:row r="13" ht="31.75" customHeight="1"/>
    <x:row r="14" ht="31.75" customHeight="1"/>
    <x:row r="15" ht="31.75" customHeight="1"/>
    <x:row r="16" ht="37.25" customHeight="1"/>
    <x:row r="17" ht="37.25" customHeight="1"/>
    <x:row r="18" ht="37.25" customHeight="1"/>
    <x:row r="20" ht="37.25" customHeight="1"/>
    <x:row r="21" ht="37.25" customHeight="1"/>
  </x:sheetData>
  <x:dataValidations count="1">
    <x:dataValidation type="list" allowBlank="1" sqref="E6:E16">
      <x:formula1>"Deterministic,Uniform,Triangular,Normal,LogNormal,Beta,Discrete"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4" width="13" style="5" customWidth="1"/>
    <x:col min="5" max="5" width="17" style="5" customWidth="1"/>
    <x:col min="6" max="6" width="52" style="5" customWidth="1"/>
    <x:col min="7" max="9" width="8.83203125" style="5" customWidth="1"/>
    <x:col min="10" max="16384" width="8.83203125" style="5" customWidth="0"/>
  </x:cols>
  <x:sheetData>
    <x:row r="1" ht="37" customHeight="1">
      <x:c r="A1" s="38" t="s">
        <x:v>205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41" t="s">
        <x:v>206</x:v>
      </x:c>
      <x:c r="B2" s="34"/>
      <x:c r="C2" s="34"/>
      <x:c r="D2" s="34"/>
      <x:c r="E2" s="34"/>
      <x:c r="F2" s="34"/>
      <x:c r="G2" s="34"/>
      <x:c r="H2" s="34"/>
      <x:c r="I2" s="34"/>
    </x:row>
    <x:row r="4" ht="20" customHeight="1">
      <x:c r="A4" s="39"/>
      <x:c r="B4" s="40"/>
      <x:c r="C4" s="40"/>
      <x:c r="D4" s="40"/>
      <x:c r="E4" s="40"/>
      <x:c r="F4" s="40"/>
      <x:c r="G4" s="40"/>
      <x:c r="H4" s="40"/>
      <x:c r="I4" s="40"/>
    </x:row>
    <x:row r="5" ht="20" customHeight="1">
      <x:c r="A5" s="21" t="s">
        <x:v>207</x:v>
      </x:c>
      <x:c r="B5" s="21" t="s">
        <x:v>208</x:v>
      </x:c>
      <x:c r="C5" s="21" t="s">
        <x:v>209</x:v>
      </x:c>
      <x:c r="D5" s="21" t="s">
        <x:v>210</x:v>
      </x:c>
      <x:c r="E5" s="11"/>
      <x:c r="F5" s="11"/>
      <x:c r="G5" s="11"/>
      <x:c r="H5" s="11"/>
      <x:c r="I5" s="11"/>
    </x:row>
    <x:row r="6">
      <x:c r="A6" s="15">
        <x:v>1</x:v>
      </x:c>
      <x:c r="B6" s="16" t="s">
        <x:v>211</x:v>
      </x:c>
      <x:c r="C6" s="15" t="s">
        <x:v>212</x:v>
      </x:c>
      <x:c r="D6" s="16">
        <x:v>13714</x:v>
      </x:c>
    </x:row>
    <x:row r="7">
      <x:c r="A7" s="17">
        <x:v>2</x:v>
      </x:c>
      <x:c r="B7" s="18" t="s">
        <x:v>213</x:v>
      </x:c>
      <x:c r="C7" s="17" t="s">
        <x:v>214</x:v>
      </x:c>
      <x:c r="D7" s="18">
        <x:v>13764</x:v>
      </x:c>
    </x:row>
    <x:row r="8">
      <x:c r="A8" s="15">
        <x:v>3</x:v>
      </x:c>
      <x:c r="B8" s="16" t="s">
        <x:v>215</x:v>
      </x:c>
      <x:c r="C8" s="15" t="s">
        <x:v>216</x:v>
      </x:c>
      <x:c r="D8" s="16">
        <x:v>20291</x:v>
      </x:c>
    </x:row>
    <x:row r="9">
      <x:c r="A9" s="17">
        <x:v>4</x:v>
      </x:c>
      <x:c r="B9" s="18" t="s">
        <x:v>217</x:v>
      </x:c>
      <x:c r="C9" s="17" t="s">
        <x:v>218</x:v>
      </x:c>
      <x:c r="D9" s="18">
        <x:v>10986</x:v>
      </x:c>
    </x:row>
    <x:row r="10">
      <x:c r="A10" s="15">
        <x:v>5</x:v>
      </x:c>
      <x:c r="B10" s="16" t="s">
        <x:v>219</x:v>
      </x:c>
      <x:c r="C10" s="15" t="s">
        <x:v>220</x:v>
      </x:c>
      <x:c r="D10" s="16">
        <x:v>4444</x:v>
      </x:c>
    </x:row>
    <x:row r="11">
      <x:c r="A11" s="17">
        <x:v>6</x:v>
      </x:c>
      <x:c r="B11" s="18" t="s">
        <x:v>221</x:v>
      </x:c>
      <x:c r="C11" s="17" t="s">
        <x:v>222</x:v>
      </x:c>
      <x:c r="D11" s="18">
        <x:v>27494</x:v>
      </x:c>
    </x:row>
    <x:row r="12">
      <x:c r="A12" s="15">
        <x:v>7</x:v>
      </x:c>
      <x:c r="B12" s="16" t="s">
        <x:v>223</x:v>
      </x:c>
      <x:c r="C12" s="15" t="s">
        <x:v>224</x:v>
      </x:c>
      <x:c r="D12" s="16">
        <x:v>3320</x:v>
      </x:c>
    </x:row>
    <x:row r="13">
      <x:c r="A13" s="17">
        <x:v>8</x:v>
      </x:c>
      <x:c r="B13" s="18" t="s">
        <x:v>225</x:v>
      </x:c>
      <x:c r="C13" s="17" t="s">
        <x:v>226</x:v>
      </x:c>
      <x:c r="D13" s="18">
        <x:v>1513</x:v>
      </x:c>
    </x:row>
    <x:row r="14">
      <x:c r="A14" s="15">
        <x:v>9</x:v>
      </x:c>
      <x:c r="B14" s="16" t="s">
        <x:v>227</x:v>
      </x:c>
      <x:c r="C14" s="15" t="s">
        <x:v>228</x:v>
      </x:c>
      <x:c r="D14" s="16">
        <x:v>1478</x:v>
      </x:c>
    </x:row>
    <x:row r="15">
      <x:c r="A15" s="17">
        <x:v>10</x:v>
      </x:c>
      <x:c r="B15" s="18" t="s">
        <x:v>229</x:v>
      </x:c>
      <x:c r="C15" s="17" t="s">
        <x:v>230</x:v>
      </x:c>
      <x:c r="D15" s="18">
        <x:v>945</x:v>
      </x:c>
    </x:row>
    <x:row r="16">
      <x:c r="A16" s="15">
        <x:v>11</x:v>
      </x:c>
      <x:c r="B16" s="16" t="s">
        <x:v>231</x:v>
      </x:c>
      <x:c r="C16" s="15" t="s">
        <x:v>232</x:v>
      </x:c>
      <x:c r="D16" s="16">
        <x:v>14935</x:v>
      </x:c>
    </x:row>
    <x:row r="17">
      <x:c r="A17" s="17">
        <x:v>12</x:v>
      </x:c>
      <x:c r="B17" s="18" t="s">
        <x:v>233</x:v>
      </x:c>
      <x:c r="C17" s="17" t="s">
        <x:v>234</x:v>
      </x:c>
      <x:c r="D17" s="18">
        <x:v>39811</x:v>
      </x:c>
    </x:row>
    <x:row r="18">
      <x:c r="A18" s="15">
        <x:v>13</x:v>
      </x:c>
      <x:c r="B18" s="16" t="s">
        <x:v>235</x:v>
      </x:c>
      <x:c r="C18" s="15" t="s">
        <x:v>236</x:v>
      </x:c>
      <x:c r="D18" s="16">
        <x:v>36612</x:v>
      </x:c>
    </x:row>
    <x:row r="19">
      <x:c r="A19" s="17">
        <x:v>14</x:v>
      </x:c>
      <x:c r="B19" s="18" t="s">
        <x:v>237</x:v>
      </x:c>
      <x:c r="C19" s="17" t="s">
        <x:v>238</x:v>
      </x:c>
      <x:c r="D19" s="18">
        <x:v>33982</x:v>
      </x:c>
    </x:row>
    <x:row r="20">
      <x:c r="A20" s="15">
        <x:v>15</x:v>
      </x:c>
      <x:c r="B20" s="16" t="s">
        <x:v>239</x:v>
      </x:c>
      <x:c r="C20" s="15" t="s">
        <x:v>240</x:v>
      </x:c>
      <x:c r="D20" s="16">
        <x:v>29246</x:v>
      </x:c>
    </x:row>
    <x:row r="21" ht="37.25" customHeight="1">
      <x:c r="A21" s="17">
        <x:v>16</x:v>
      </x:c>
      <x:c r="B21" s="18" t="s">
        <x:v>241</x:v>
      </x:c>
      <x:c r="C21" s="17" t="s">
        <x:v>242</x:v>
      </x:c>
      <x:c r="D21" s="18">
        <x:v>5583</x:v>
      </x:c>
    </x:row>
    <x:row r="22">
      <x:c r="A22" s="15">
        <x:v>17</x:v>
      </x:c>
      <x:c r="B22" s="16" t="s">
        <x:v>243</x:v>
      </x:c>
      <x:c r="C22" s="15" t="s">
        <x:v>244</x:v>
      </x:c>
      <x:c r="D22" s="16">
        <x:v>4305</x:v>
      </x:c>
    </x:row>
    <x:row r="23">
      <x:c r="A23" s="17">
        <x:v>18</x:v>
      </x:c>
      <x:c r="B23" s="18" t="s">
        <x:v>245</x:v>
      </x:c>
      <x:c r="C23" s="17" t="s">
        <x:v>246</x:v>
      </x:c>
      <x:c r="D23" s="18">
        <x:v>550</x:v>
      </x:c>
    </x:row>
    <x:row r="24">
      <x:c r="A24" s="15">
        <x:v>19</x:v>
      </x:c>
      <x:c r="B24" s="16" t="s">
        <x:v>247</x:v>
      </x:c>
      <x:c r="C24" s="15" t="s">
        <x:v>248</x:v>
      </x:c>
      <x:c r="D24" s="16">
        <x:v>1678</x:v>
      </x:c>
    </x:row>
    <x:row r="25">
      <x:c r="A25" s="17">
        <x:v>20</x:v>
      </x:c>
      <x:c r="B25" s="18" t="s">
        <x:v>249</x:v>
      </x:c>
      <x:c r="C25" s="17" t="s">
        <x:v>250</x:v>
      </x:c>
      <x:c r="D25" s="18">
        <x:v>1891</x:v>
      </x:c>
    </x:row>
    <x:row r="26">
      <x:c r="A26" s="15">
        <x:v>21</x:v>
      </x:c>
      <x:c r="B26" s="16" t="s">
        <x:v>251</x:v>
      </x:c>
      <x:c r="C26" s="15" t="s">
        <x:v>252</x:v>
      </x:c>
      <x:c r="D26" s="16">
        <x:v>3796</x:v>
      </x:c>
    </x:row>
    <x:row r="27">
      <x:c r="A27" s="17">
        <x:v>22</x:v>
      </x:c>
      <x:c r="B27" s="18" t="s">
        <x:v>253</x:v>
      </x:c>
      <x:c r="C27" s="17" t="s">
        <x:v>254</x:v>
      </x:c>
      <x:c r="D27" s="18">
        <x:v>2452</x:v>
      </x:c>
    </x:row>
    <x:row r="28">
      <x:c r="A28" s="15">
        <x:v>23</x:v>
      </x:c>
      <x:c r="B28" s="16" t="s">
        <x:v>255</x:v>
      </x:c>
      <x:c r="C28" s="15" t="s">
        <x:v>256</x:v>
      </x:c>
      <x:c r="D28" s="16">
        <x:v>8821</x:v>
      </x:c>
    </x:row>
    <x:row r="29">
      <x:c r="A29" s="17">
        <x:v>24</x:v>
      </x:c>
      <x:c r="B29" s="18" t="s">
        <x:v>257</x:v>
      </x:c>
      <x:c r="C29" s="17" t="s">
        <x:v>258</x:v>
      </x:c>
      <x:c r="D29" s="18">
        <x:v>4234</x:v>
      </x:c>
    </x:row>
    <x:row r="30">
      <x:c r="A30" s="15">
        <x:v>25</x:v>
      </x:c>
      <x:c r="B30" s="16" t="s">
        <x:v>259</x:v>
      </x:c>
      <x:c r="C30" s="15" t="s">
        <x:v>260</x:v>
      </x:c>
      <x:c r="D30" s="16">
        <x:v>5988</x:v>
      </x:c>
    </x:row>
    <x:row r="31">
      <x:c r="A31" s="17">
        <x:v>26</x:v>
      </x:c>
      <x:c r="B31" s="18" t="s">
        <x:v>261</x:v>
      </x:c>
      <x:c r="C31" s="17" t="s">
        <x:v>262</x:v>
      </x:c>
      <x:c r="D31" s="18">
        <x:v>4998</x:v>
      </x:c>
    </x:row>
    <x:row r="32">
      <x:c r="A32" s="15">
        <x:v>27</x:v>
      </x:c>
      <x:c r="B32" s="16" t="s">
        <x:v>263</x:v>
      </x:c>
      <x:c r="C32" s="15" t="s">
        <x:v>264</x:v>
      </x:c>
      <x:c r="D32" s="16">
        <x:v>3560</x:v>
      </x:c>
    </x:row>
    <x:row r="33">
      <x:c r="A33" s="17">
        <x:v>28</x:v>
      </x:c>
      <x:c r="B33" s="18" t="s">
        <x:v>265</x:v>
      </x:c>
      <x:c r="C33" s="17" t="s">
        <x:v>266</x:v>
      </x:c>
      <x:c r="D33" s="18">
        <x:v>1476</x:v>
      </x:c>
    </x:row>
    <x:row r="34">
      <x:c r="A34" s="15">
        <x:v>29</x:v>
      </x:c>
      <x:c r="B34" s="16" t="s">
        <x:v>267</x:v>
      </x:c>
      <x:c r="C34" s="15" t="s">
        <x:v>268</x:v>
      </x:c>
      <x:c r="D34" s="16">
        <x:v>9104</x:v>
      </x:c>
    </x:row>
    <x:row r="35">
      <x:c r="A35" s="17">
        <x:v>30</x:v>
      </x:c>
      <x:c r="B35" s="18" t="s">
        <x:v>269</x:v>
      </x:c>
      <x:c r="C35" s="17" t="s">
        <x:v>270</x:v>
      </x:c>
      <x:c r="D35" s="18">
        <x:v>9945</x:v>
      </x:c>
    </x:row>
    <x:row r="36">
      <x:c r="A36" s="15">
        <x:v>31</x:v>
      </x:c>
      <x:c r="B36" s="16" t="s">
        <x:v>271</x:v>
      </x:c>
      <x:c r="C36" s="15" t="s">
        <x:v>272</x:v>
      </x:c>
      <x:c r="D36" s="16">
        <x:v>11515</x:v>
      </x:c>
    </x:row>
    <x:row r="37" ht="37.25" customHeight="1">
      <x:c r="A37" s="17">
        <x:v>32</x:v>
      </x:c>
      <x:c r="B37" s="18" t="s">
        <x:v>273</x:v>
      </x:c>
      <x:c r="C37" s="17" t="s">
        <x:v>274</x:v>
      </x:c>
      <x:c r="D37" s="18">
        <x:v>10624</x:v>
      </x:c>
    </x:row>
    <x:row r="38">
      <x:c r="A38" s="15">
        <x:v>33</x:v>
      </x:c>
      <x:c r="B38" s="16" t="s">
        <x:v>275</x:v>
      </x:c>
      <x:c r="C38" s="15" t="s">
        <x:v>276</x:v>
      </x:c>
      <x:c r="D38" s="16">
        <x:v>9327</x:v>
      </x:c>
    </x:row>
    <x:row r="39">
      <x:c r="A39" s="17">
        <x:v>34</x:v>
      </x:c>
      <x:c r="B39" s="18" t="s">
        <x:v>277</x:v>
      </x:c>
      <x:c r="C39" s="17" t="s">
        <x:v>278</x:v>
      </x:c>
      <x:c r="D39" s="18">
        <x:v>6181</x:v>
      </x:c>
    </x:row>
    <x:row r="40">
      <x:c r="A40" s="15">
        <x:v>35</x:v>
      </x:c>
      <x:c r="B40" s="16" t="s">
        <x:v>279</x:v>
      </x:c>
      <x:c r="C40" s="15" t="s">
        <x:v>280</x:v>
      </x:c>
      <x:c r="D40" s="16">
        <x:v>4975</x:v>
      </x:c>
    </x:row>
    <x:row r="41">
      <x:c r="A41" s="17">
        <x:v>36</x:v>
      </x:c>
      <x:c r="B41" s="18" t="s">
        <x:v>281</x:v>
      </x:c>
      <x:c r="C41" s="17" t="s">
        <x:v>282</x:v>
      </x:c>
      <x:c r="D41" s="18">
        <x:v>6840</x:v>
      </x:c>
    </x:row>
    <x:row r="42">
      <x:c r="A42" s="15">
        <x:v>37</x:v>
      </x:c>
      <x:c r="B42" s="16" t="s">
        <x:v>283</x:v>
      </x:c>
      <x:c r="C42" s="15" t="s">
        <x:v>284</x:v>
      </x:c>
      <x:c r="D42" s="16">
        <x:v>410</x:v>
      </x:c>
    </x:row>
    <x:row r="43">
      <x:c r="A43" s="17">
        <x:v>38</x:v>
      </x:c>
      <x:c r="B43" s="18" t="s">
        <x:v>285</x:v>
      </x:c>
      <x:c r="C43" s="17" t="s">
        <x:v>286</x:v>
      </x:c>
      <x:c r="D43" s="18">
        <x:v>491</x:v>
      </x:c>
    </x:row>
    <x:row r="44" ht="37.25" customHeight="1">
      <x:c r="A44" s="15">
        <x:v>39</x:v>
      </x:c>
      <x:c r="B44" s="16" t="s">
        <x:v>287</x:v>
      </x:c>
      <x:c r="C44" s="15" t="s">
        <x:v>288</x:v>
      </x:c>
      <x:c r="D44" s="16">
        <x:v>18103</x:v>
      </x:c>
    </x:row>
    <x:row r="45">
      <x:c r="A45" s="17">
        <x:v>40</x:v>
      </x:c>
      <x:c r="B45" s="18" t="s">
        <x:v>289</x:v>
      </x:c>
      <x:c r="C45" s="17" t="s">
        <x:v>290</x:v>
      </x:c>
      <x:c r="D45" s="18">
        <x:v>10278</x:v>
      </x:c>
    </x:row>
    <x:row r="46">
      <x:c r="A46" s="15">
        <x:v>41</x:v>
      </x:c>
      <x:c r="B46" s="16" t="s">
        <x:v>291</x:v>
      </x:c>
      <x:c r="C46" s="15" t="s">
        <x:v>292</x:v>
      </x:c>
      <x:c r="D46" s="16">
        <x:v>6738</x:v>
      </x:c>
    </x:row>
    <x:row r="47">
      <x:c r="A47" s="17">
        <x:v>42</x:v>
      </x:c>
      <x:c r="B47" s="18" t="s">
        <x:v>293</x:v>
      </x:c>
      <x:c r="C47" s="17" t="s">
        <x:v>294</x:v>
      </x:c>
      <x:c r="D47" s="18">
        <x:v>10100</x:v>
      </x:c>
    </x:row>
    <x:row r="48">
      <x:c r="A48" s="15">
        <x:v>43</x:v>
      </x:c>
      <x:c r="B48" s="16" t="s">
        <x:v>295</x:v>
      </x:c>
      <x:c r="C48" s="15" t="s">
        <x:v>296</x:v>
      </x:c>
      <x:c r="D48" s="16">
        <x:v>15060</x:v>
      </x:c>
    </x:row>
    <x:row r="49">
      <x:c r="A49" s="17">
        <x:v>44</x:v>
      </x:c>
      <x:c r="B49" s="18" t="s">
        <x:v>297</x:v>
      </x:c>
      <x:c r="C49" s="17" t="s">
        <x:v>298</x:v>
      </x:c>
      <x:c r="D49" s="18">
        <x:v>13781</x:v>
      </x:c>
    </x:row>
    <x:row r="50">
      <x:c r="A50" s="15">
        <x:v>45</x:v>
      </x:c>
      <x:c r="B50" s="16" t="s">
        <x:v>299</x:v>
      </x:c>
      <x:c r="C50" s="15" t="s">
        <x:v>300</x:v>
      </x:c>
      <x:c r="D50" s="16">
        <x:v>6323</x:v>
      </x:c>
    </x:row>
    <x:row r="51">
      <x:c r="A51" s="17">
        <x:v>46</x:v>
      </x:c>
      <x:c r="B51" s="18" t="s">
        <x:v>301</x:v>
      </x:c>
      <x:c r="C51" s="17" t="s">
        <x:v>302</x:v>
      </x:c>
      <x:c r="D51" s="18">
        <x:v>3664</x:v>
      </x:c>
    </x:row>
    <x:row r="52">
      <x:c r="A52" s="15">
        <x:v>47</x:v>
      </x:c>
      <x:c r="B52" s="16" t="s">
        <x:v>303</x:v>
      </x:c>
      <x:c r="C52" s="15" t="s">
        <x:v>304</x:v>
      </x:c>
      <x:c r="D52" s="16">
        <x:v>618</x:v>
      </x:c>
    </x:row>
    <x:row r="53">
      <x:c r="A53" s="17">
        <x:v>48</x:v>
      </x:c>
      <x:c r="B53" s="18" t="s">
        <x:v>305</x:v>
      </x:c>
      <x:c r="C53" s="17" t="s">
        <x:v>306</x:v>
      </x:c>
      <x:c r="D53" s="18">
        <x:v>23177</x:v>
      </x:c>
    </x:row>
    <x:row r="54" ht="37.25" customHeight="1">
      <x:c r="A54" s="15">
        <x:v>49</x:v>
      </x:c>
      <x:c r="B54" s="16" t="s">
        <x:v>307</x:v>
      </x:c>
      <x:c r="C54" s="15" t="s">
        <x:v>308</x:v>
      </x:c>
      <x:c r="D54" s="16">
        <x:v>13658</x:v>
      </x:c>
    </x:row>
    <x:row r="55" ht="37.25" customHeight="1">
      <x:c r="A55" s="17">
        <x:v>49</x:v>
      </x:c>
      <x:c r="B55" s="18" t="s">
        <x:v>307</x:v>
      </x:c>
      <x:c r="C55" s="17" t="s">
        <x:v>308</x:v>
      </x:c>
      <x:c r="D55" s="18">
        <x:v>13658</x:v>
      </x:c>
    </x:row>
    <x:row r="56">
      <x:c r="A56" s="15">
        <x:v>50</x:v>
      </x:c>
      <x:c r="B56" s="16" t="s">
        <x:v>309</x:v>
      </x:c>
      <x:c r="C56" s="15" t="s">
        <x:v>310</x:v>
      </x:c>
      <x:c r="D56" s="16">
        <x:v>9731</x:v>
      </x:c>
    </x:row>
    <x:row r="57">
      <x:c r="A57" s="17">
        <x:v>51</x:v>
      </x:c>
      <x:c r="B57" s="18" t="s">
        <x:v>311</x:v>
      </x:c>
      <x:c r="C57" s="17" t="s">
        <x:v>312</x:v>
      </x:c>
      <x:c r="D57" s="18">
        <x:v>8977</x:v>
      </x:c>
    </x:row>
    <x:row r="58">
      <x:c r="A58" s="15">
        <x:v>52</x:v>
      </x:c>
      <x:c r="B58" s="16" t="s">
        <x:v>313</x:v>
      </x:c>
      <x:c r="C58" s="15" t="s">
        <x:v>314</x:v>
      </x:c>
      <x:c r="D58" s="16">
        <x:v>7213</x:v>
      </x:c>
    </x:row>
    <x:row r="59">
      <x:c r="A59" s="17">
        <x:v>53</x:v>
      </x:c>
      <x:c r="B59" s="18" t="s">
        <x:v>315</x:v>
      </x:c>
      <x:c r="C59" s="17" t="s">
        <x:v>316</x:v>
      </x:c>
      <x:c r="D59" s="18">
        <x:v>5953</x:v>
      </x:c>
    </x:row>
    <x:row r="60">
      <x:c r="A60" s="15">
        <x:v>54</x:v>
      </x:c>
      <x:c r="B60" s="16" t="s">
        <x:v>317</x:v>
      </x:c>
      <x:c r="C60" s="15" t="s">
        <x:v>318</x:v>
      </x:c>
      <x:c r="D60" s="16">
        <x:v>6082</x:v>
      </x:c>
    </x:row>
    <x:row r="61">
      <x:c r="A61" s="17">
        <x:v>55</x:v>
      </x:c>
      <x:c r="B61" s="18" t="s">
        <x:v>319</x:v>
      </x:c>
      <x:c r="C61" s="17" t="s">
        <x:v>320</x:v>
      </x:c>
      <x:c r="D61" s="18">
        <x:v>14403</x:v>
      </x:c>
    </x:row>
    <x:row r="62" ht="37.25" customHeight="1">
      <x:c r="A62" s="15">
        <x:v>56</x:v>
      </x:c>
      <x:c r="B62" s="16" t="s">
        <x:v>321</x:v>
      </x:c>
      <x:c r="C62" s="15" t="s">
        <x:v>322</x:v>
      </x:c>
      <x:c r="D62" s="16">
        <x:v>8239</x:v>
      </x:c>
    </x:row>
    <x:row r="63" ht="37.25" customHeight="1">
      <x:c r="A63" s="17">
        <x:v>57</x:v>
      </x:c>
      <x:c r="B63" s="18" t="s">
        <x:v>323</x:v>
      </x:c>
      <x:c r="C63" s="17" t="s">
        <x:v>324</x:v>
      </x:c>
      <x:c r="D63" s="18">
        <x:v>3025</x:v>
      </x:c>
    </x:row>
    <x:row r="64" ht="37.25" customHeight="1">
      <x:c r="A64" s="15">
        <x:v>58</x:v>
      </x:c>
      <x:c r="B64" s="16" t="s">
        <x:v>325</x:v>
      </x:c>
      <x:c r="C64" s="15" t="s">
        <x:v>326</x:v>
      </x:c>
      <x:c r="D64" s="16">
        <x:v>39194</x:v>
      </x:c>
    </x:row>
    <x:row r="65" ht="37.25" customHeight="1">
      <x:c r="A65" s="17">
        <x:v>59</x:v>
      </x:c>
      <x:c r="B65" s="18" t="s">
        <x:v>327</x:v>
      </x:c>
      <x:c r="C65" s="17" t="s">
        <x:v>328</x:v>
      </x:c>
      <x:c r="D65" s="18">
        <x:v>59498</x:v>
      </x:c>
    </x:row>
    <x:row r="66" ht="56" customHeight="1">
      <x:c r="A66" s="15">
        <x:v>60</x:v>
      </x:c>
      <x:c r="B66" s="16" t="s">
        <x:v>329</x:v>
      </x:c>
      <x:c r="C66" s="15" t="s">
        <x:v>330</x:v>
      </x:c>
      <x:c r="D66" s="16">
        <x:v>56800</x:v>
      </x:c>
    </x:row>
    <x:row r="67" ht="37.25" customHeight="1">
      <x:c r="A67" s="17">
        <x:v>61</x:v>
      </x:c>
      <x:c r="B67" s="18" t="s">
        <x:v>331</x:v>
      </x:c>
      <x:c r="C67" s="17" t="s">
        <x:v>332</x:v>
      </x:c>
      <x:c r="D67" s="18">
        <x:v>49521</x:v>
      </x:c>
    </x:row>
    <x:row r="68">
      <x:c r="A68" s="15">
        <x:v>62</x:v>
      </x:c>
      <x:c r="B68" s="16" t="s">
        <x:v>333</x:v>
      </x:c>
      <x:c r="C68" s="15" t="s">
        <x:v>334</x:v>
      </x:c>
      <x:c r="D68" s="16">
        <x:v>11619</x:v>
      </x:c>
    </x:row>
    <x:row r="69" ht="37.25" customHeight="1">
      <x:c r="A69" s="17">
        <x:v>63</x:v>
      </x:c>
      <x:c r="B69" s="18" t="s">
        <x:v>335</x:v>
      </x:c>
      <x:c r="C69" s="17" t="s">
        <x:v>336</x:v>
      </x:c>
      <x:c r="D69" s="18">
        <x:v>26956</x:v>
      </x:c>
    </x:row>
    <x:row r="70">
      <x:c r="A70" s="15">
        <x:v>64</x:v>
      </x:c>
      <x:c r="B70" s="16" t="s">
        <x:v>337</x:v>
      </x:c>
      <x:c r="C70" s="15" t="s">
        <x:v>338</x:v>
      </x:c>
      <x:c r="D70" s="16">
        <x:v>98086</x:v>
      </x:c>
    </x:row>
    <x:row r="71" ht="37.25" customHeight="1">
      <x:c r="A71" s="17">
        <x:v>65</x:v>
      </x:c>
      <x:c r="B71" s="18" t="s">
        <x:v>339</x:v>
      </x:c>
      <x:c r="C71" s="17" t="s">
        <x:v>340</x:v>
      </x:c>
      <x:c r="D71" s="18">
        <x:v>60154</x:v>
      </x:c>
    </x:row>
    <x:row r="72">
      <x:c r="A72" s="15">
        <x:v>66</x:v>
      </x:c>
      <x:c r="B72" s="16" t="s">
        <x:v>341</x:v>
      </x:c>
      <x:c r="C72" s="15" t="s">
        <x:v>342</x:v>
      </x:c>
      <x:c r="D72" s="16">
        <x:v>50164</x:v>
      </x:c>
    </x:row>
    <x:row r="73">
      <x:c r="A73" s="17">
        <x:v>67</x:v>
      </x:c>
      <x:c r="B73" s="18" t="s">
        <x:v>343</x:v>
      </x:c>
      <x:c r="C73" s="17" t="s">
        <x:v>344</x:v>
      </x:c>
      <x:c r="D73" s="18">
        <x:v>26188</x:v>
      </x:c>
    </x:row>
    <x:row r="74" ht="56" customHeight="1">
      <x:c r="A74" s="15">
        <x:v>68</x:v>
      </x:c>
      <x:c r="B74" s="16" t="s">
        <x:v>345</x:v>
      </x:c>
      <x:c r="C74" s="15" t="s">
        <x:v>346</x:v>
      </x:c>
      <x:c r="D74" s="16">
        <x:v>70123</x:v>
      </x:c>
    </x:row>
    <x:row r="75" ht="37.25" customHeight="1">
      <x:c r="A75" s="17">
        <x:v>69</x:v>
      </x:c>
      <x:c r="B75" s="18" t="s">
        <x:v>347</x:v>
      </x:c>
      <x:c r="C75" s="17" t="s">
        <x:v>348</x:v>
      </x:c>
      <x:c r="D75" s="18">
        <x:v>45025</x:v>
      </x:c>
    </x:row>
    <x:row r="76" ht="37.25" customHeight="1">
      <x:c r="A76" s="15">
        <x:v>70</x:v>
      </x:c>
      <x:c r="B76" s="16" t="s">
        <x:v>349</x:v>
      </x:c>
      <x:c r="C76" s="15" t="s">
        <x:v>350</x:v>
      </x:c>
      <x:c r="D76" s="16">
        <x:v>5547</x:v>
      </x:c>
    </x:row>
    <x:row r="77" ht="37.25" customHeight="1">
      <x:c r="A77" s="17">
        <x:v>71</x:v>
      </x:c>
      <x:c r="B77" s="18" t="s">
        <x:v>351</x:v>
      </x:c>
      <x:c r="C77" s="17" t="s">
        <x:v>352</x:v>
      </x:c>
      <x:c r="D77" s="18">
        <x:v>54958</x:v>
      </x:c>
    </x:row>
    <x:row r="78">
      <x:c r="A78" s="15">
        <x:v>72</x:v>
      </x:c>
      <x:c r="B78" s="16" t="s">
        <x:v>353</x:v>
      </x:c>
      <x:c r="C78" s="15" t="s">
        <x:v>354</x:v>
      </x:c>
      <x:c r="D78" s="16">
        <x:v>24537</x:v>
      </x:c>
    </x:row>
    <x:row r="79">
      <x:c r="A79" s="17">
        <x:v>73</x:v>
      </x:c>
      <x:c r="B79" s="18" t="s">
        <x:v>355</x:v>
      </x:c>
      <x:c r="C79" s="17" t="s">
        <x:v>356</x:v>
      </x:c>
      <x:c r="D79" s="18">
        <x:v>13571</x:v>
      </x:c>
    </x:row>
    <x:row r="80">
      <x:c r="A80" s="15">
        <x:v>74</x:v>
      </x:c>
      <x:c r="B80" s="16" t="s">
        <x:v>357</x:v>
      </x:c>
      <x:c r="C80" s="15" t="s">
        <x:v>358</x:v>
      </x:c>
      <x:c r="D80" s="16">
        <x:v>8441</x:v>
      </x:c>
    </x:row>
    <x:row r="81">
      <x:c r="A81" s="17">
        <x:v>75</x:v>
      </x:c>
      <x:c r="B81" s="18" t="s">
        <x:v>359</x:v>
      </x:c>
      <x:c r="C81" s="17" t="s">
        <x:v>360</x:v>
      </x:c>
      <x:c r="D81" s="18">
        <x:v>1740</x:v>
      </x:c>
    </x:row>
    <x:row r="82">
      <x:c r="A82" s="15">
        <x:v>76</x:v>
      </x:c>
      <x:c r="B82" s="16" t="s">
        <x:v>361</x:v>
      </x:c>
      <x:c r="C82" s="15" t="s">
        <x:v>362</x:v>
      </x:c>
      <x:c r="D82" s="16">
        <x:v>938</x:v>
      </x:c>
    </x:row>
    <x:row r="83" ht="37.25" customHeight="1">
      <x:c r="A83" s="17">
        <x:v>77</x:v>
      </x:c>
      <x:c r="B83" s="18" t="s">
        <x:v>363</x:v>
      </x:c>
      <x:c r="C83" s="17" t="s">
        <x:v>364</x:v>
      </x:c>
      <x:c r="D83" s="18">
        <x:v>1782</x:v>
      </x:c>
    </x:row>
    <x:row r="84" ht="37.25" customHeight="1">
      <x:c r="A84" s="15">
        <x:v>78</x:v>
      </x:c>
      <x:c r="B84" s="16" t="s">
        <x:v>365</x:v>
      </x:c>
      <x:c r="C84" s="15" t="s">
        <x:v>366</x:v>
      </x:c>
      <x:c r="D84" s="16">
        <x:v>617</x:v>
      </x:c>
    </x:row>
    <x:row r="85">
      <x:c r="A85" s="17">
        <x:v>79</x:v>
      </x:c>
      <x:c r="B85" s="18" t="s">
        <x:v>367</x:v>
      </x:c>
      <x:c r="C85" s="17" t="s">
        <x:v>368</x:v>
      </x:c>
      <x:c r="D85" s="18">
        <x:v>2919</x:v>
      </x:c>
    </x:row>
    <x:row r="86">
      <x:c r="A86" s="15">
        <x:v>80</x:v>
      </x:c>
      <x:c r="B86" s="16" t="s">
        <x:v>369</x:v>
      </x:c>
      <x:c r="C86" s="15" t="s">
        <x:v>370</x:v>
      </x:c>
      <x:c r="D86" s="16">
        <x:v>2175</x:v>
      </x:c>
    </x:row>
    <x:row r="87">
      <x:c r="A87" s="17">
        <x:v>81</x:v>
      </x:c>
      <x:c r="B87" s="18" t="s">
        <x:v>371</x:v>
      </x:c>
      <x:c r="C87" s="17" t="s">
        <x:v>372</x:v>
      </x:c>
      <x:c r="D87" s="18">
        <x:v>615</x:v>
      </x:c>
    </x:row>
    <x:row r="88" ht="37.25" customHeight="1">
      <x:c r="A88" s="15">
        <x:v>82</x:v>
      </x:c>
      <x:c r="B88" s="16" t="s">
        <x:v>373</x:v>
      </x:c>
      <x:c r="C88" s="15" t="s">
        <x:v>374</x:v>
      </x:c>
      <x:c r="D88" s="16">
        <x:v>8378</x:v>
      </x:c>
    </x:row>
    <x:row r="89">
      <x:c r="A89" s="17">
        <x:v>83</x:v>
      </x:c>
      <x:c r="B89" s="18" t="s">
        <x:v>375</x:v>
      </x:c>
      <x:c r="C89" s="17" t="s">
        <x:v>376</x:v>
      </x:c>
      <x:c r="D89" s="18">
        <x:v>6589</x:v>
      </x:c>
    </x:row>
    <x:row r="90">
      <x:c r="A90" s="15">
        <x:v>84</x:v>
      </x:c>
      <x:c r="B90" s="16" t="s">
        <x:v>377</x:v>
      </x:c>
      <x:c r="C90" s="15" t="s">
        <x:v>378</x:v>
      </x:c>
      <x:c r="D90" s="16">
        <x:v>6510</x:v>
      </x:c>
    </x:row>
    <x:row r="91">
      <x:c r="A91" s="17">
        <x:v>85</x:v>
      </x:c>
      <x:c r="B91" s="18" t="s">
        <x:v>379</x:v>
      </x:c>
      <x:c r="C91" s="17" t="s">
        <x:v>380</x:v>
      </x:c>
      <x:c r="D91" s="18">
        <x:v>14438</x:v>
      </x:c>
    </x:row>
    <x:row r="92">
      <x:c r="A92" s="15">
        <x:v>86</x:v>
      </x:c>
      <x:c r="B92" s="16" t="s">
        <x:v>381</x:v>
      </x:c>
      <x:c r="C92" s="15" t="s">
        <x:v>382</x:v>
      </x:c>
      <x:c r="D92" s="16">
        <x:v>15731</x:v>
      </x:c>
    </x:row>
    <x:row r="93">
      <x:c r="A93" s="17">
        <x:v>87</x:v>
      </x:c>
      <x:c r="B93" s="18" t="s">
        <x:v>383</x:v>
      </x:c>
      <x:c r="C93" s="17" t="s">
        <x:v>384</x:v>
      </x:c>
      <x:c r="D93" s="18">
        <x:v>6937</x:v>
      </x:c>
    </x:row>
    <x:row r="94">
      <x:c r="A94" s="15">
        <x:v>88</x:v>
      </x:c>
      <x:c r="B94" s="16" t="s">
        <x:v>385</x:v>
      </x:c>
      <x:c r="C94" s="15" t="s">
        <x:v>386</x:v>
      </x:c>
      <x:c r="D94" s="16">
        <x:v>11800</x:v>
      </x:c>
    </x:row>
    <x:row r="95">
      <x:c r="A95" s="17">
        <x:v>89</x:v>
      </x:c>
      <x:c r="B95" s="18" t="s">
        <x:v>387</x:v>
      </x:c>
      <x:c r="C95" s="17" t="s">
        <x:v>388</x:v>
      </x:c>
      <x:c r="D95" s="18">
        <x:v>31765</x:v>
      </x:c>
    </x:row>
    <x:row r="96">
      <x:c r="A96" s="15">
        <x:v>90</x:v>
      </x:c>
      <x:c r="B96" s="16" t="s">
        <x:v>389</x:v>
      </x:c>
      <x:c r="C96" s="15" t="s">
        <x:v>390</x:v>
      </x:c>
      <x:c r="D96" s="16">
        <x:v>26754</x:v>
      </x:c>
    </x:row>
    <x:row r="97">
      <x:c r="A97" s="17">
        <x:v>91</x:v>
      </x:c>
      <x:c r="B97" s="18" t="s">
        <x:v>391</x:v>
      </x:c>
      <x:c r="C97" s="17" t="s">
        <x:v>392</x:v>
      </x:c>
      <x:c r="D97" s="18">
        <x:v>12779</x:v>
      </x:c>
    </x:row>
    <x:row r="98">
      <x:c r="A98" s="15">
        <x:v>92</x:v>
      </x:c>
      <x:c r="B98" s="16" t="s">
        <x:v>393</x:v>
      </x:c>
      <x:c r="C98" s="15" t="s">
        <x:v>394</x:v>
      </x:c>
      <x:c r="D98" s="16">
        <x:v>12437</x:v>
      </x:c>
    </x:row>
    <x:row r="99">
      <x:c r="A99" s="17">
        <x:v>93</x:v>
      </x:c>
      <x:c r="B99" s="18" t="s">
        <x:v>395</x:v>
      </x:c>
      <x:c r="C99" s="17" t="s">
        <x:v>396</x:v>
      </x:c>
      <x:c r="D99" s="18">
        <x:v>10266</x:v>
      </x:c>
    </x:row>
    <x:row r="100">
      <x:c r="A100" s="15">
        <x:v>94</x:v>
      </x:c>
      <x:c r="B100" s="16" t="s">
        <x:v>397</x:v>
      </x:c>
      <x:c r="C100" s="15" t="s">
        <x:v>398</x:v>
      </x:c>
      <x:c r="D100" s="16">
        <x:v>5849</x:v>
      </x:c>
    </x:row>
    <x:row r="101">
      <x:c r="A101" s="17">
        <x:v>95</x:v>
      </x:c>
      <x:c r="B101" s="18" t="s">
        <x:v>399</x:v>
      </x:c>
      <x:c r="C101" s="17" t="s">
        <x:v>400</x:v>
      </x:c>
      <x:c r="D101" s="18">
        <x:v>5876</x:v>
      </x:c>
    </x:row>
    <x:row r="102">
      <x:c r="A102" s="15">
        <x:v>96</x:v>
      </x:c>
      <x:c r="B102" s="16" t="s">
        <x:v>401</x:v>
      </x:c>
      <x:c r="C102" s="15" t="s">
        <x:v>402</x:v>
      </x:c>
      <x:c r="D102" s="16">
        <x:v>13918</x:v>
      </x:c>
    </x:row>
    <x:row r="103">
      <x:c r="A103" s="17">
        <x:v>97</x:v>
      </x:c>
      <x:c r="B103" s="18" t="s">
        <x:v>403</x:v>
      </x:c>
      <x:c r="C103" s="17" t="s">
        <x:v>404</x:v>
      </x:c>
      <x:c r="D103" s="18">
        <x:v>1991</x:v>
      </x:c>
    </x:row>
    <x:row r="104">
      <x:c r="A104" s="15">
        <x:v>98</x:v>
      </x:c>
      <x:c r="B104" s="16" t="s">
        <x:v>405</x:v>
      </x:c>
      <x:c r="C104" s="15" t="s">
        <x:v>406</x:v>
      </x:c>
      <x:c r="D104" s="16">
        <x:v>1876</x:v>
      </x:c>
    </x:row>
    <x:row r="105">
      <x:c r="A105" s="17">
        <x:v>99</x:v>
      </x:c>
      <x:c r="B105" s="18" t="s">
        <x:v>407</x:v>
      </x:c>
      <x:c r="C105" s="17" t="s">
        <x:v>408</x:v>
      </x:c>
      <x:c r="D105" s="18">
        <x:v>2783</x:v>
      </x:c>
    </x:row>
    <x:row r="106">
      <x:c r="A106" s="15">
        <x:v>100</x:v>
      </x:c>
      <x:c r="B106" s="16" t="s">
        <x:v>409</x:v>
      </x:c>
      <x:c r="C106" s="15" t="s">
        <x:v>410</x:v>
      </x:c>
      <x:c r="D106" s="16">
        <x:v>4711</x:v>
      </x:c>
    </x:row>
    <x:row r="107" ht="37.25" customHeight="1">
      <x:c r="A107" s="17">
        <x:v>101</x:v>
      </x:c>
      <x:c r="B107" s="18" t="s">
        <x:v>411</x:v>
      </x:c>
      <x:c r="C107" s="17" t="s">
        <x:v>412</x:v>
      </x:c>
      <x:c r="D107" s="18">
        <x:v>3054</x:v>
      </x:c>
    </x:row>
    <x:row r="108">
      <x:c r="A108" s="15">
        <x:v>102</x:v>
      </x:c>
      <x:c r="B108" s="16" t="s">
        <x:v>413</x:v>
      </x:c>
      <x:c r="C108" s="15" t="s">
        <x:v>414</x:v>
      </x:c>
      <x:c r="D108" s="16">
        <x:v>10040</x:v>
      </x:c>
    </x:row>
    <x:row r="109">
      <x:c r="A109" s="17">
        <x:v>103</x:v>
      </x:c>
      <x:c r="B109" s="18" t="s">
        <x:v>415</x:v>
      </x:c>
      <x:c r="C109" s="17" t="s">
        <x:v>416</x:v>
      </x:c>
      <x:c r="D109" s="18">
        <x:v>4620</x:v>
      </x:c>
    </x:row>
    <x:row r="110">
      <x:c r="A110" s="15">
        <x:v>104</x:v>
      </x:c>
      <x:c r="B110" s="16" t="s">
        <x:v>417</x:v>
      </x:c>
      <x:c r="C110" s="15" t="s">
        <x:v>418</x:v>
      </x:c>
      <x:c r="D110" s="16">
        <x:v>2165</x:v>
      </x:c>
    </x:row>
    <x:row r="111">
      <x:c r="A111" s="17">
        <x:v>105</x:v>
      </x:c>
      <x:c r="B111" s="18" t="s">
        <x:v>419</x:v>
      </x:c>
      <x:c r="C111" s="17" t="s">
        <x:v>420</x:v>
      </x:c>
      <x:c r="D111" s="18">
        <x:v>15681</x:v>
      </x:c>
    </x:row>
    <x:row r="112">
      <x:c r="A112" s="15">
        <x:v>106</x:v>
      </x:c>
      <x:c r="B112" s="16" t="s">
        <x:v>421</x:v>
      </x:c>
      <x:c r="C112" s="15" t="s">
        <x:v>422</x:v>
      </x:c>
      <x:c r="D112" s="16">
        <x:v>4136</x:v>
      </x:c>
    </x:row>
    <x:row r="113">
      <x:c r="A113" s="17">
        <x:v>107</x:v>
      </x:c>
      <x:c r="B113" s="18" t="s">
        <x:v>423</x:v>
      </x:c>
      <x:c r="C113" s="17" t="s">
        <x:v>424</x:v>
      </x:c>
      <x:c r="D113" s="18">
        <x:v>1437</x:v>
      </x:c>
    </x:row>
    <x:row r="114">
      <x:c r="A114" s="15">
        <x:v>108</x:v>
      </x:c>
      <x:c r="B114" s="16" t="s">
        <x:v>425</x:v>
      </x:c>
      <x:c r="C114" s="15" t="s">
        <x:v>426</x:v>
      </x:c>
      <x:c r="D114" s="16">
        <x:v>1715</x:v>
      </x:c>
    </x:row>
    <x:row r="115">
      <x:c r="A115" s="17">
        <x:v>109</x:v>
      </x:c>
      <x:c r="B115" s="18" t="s">
        <x:v>427</x:v>
      </x:c>
      <x:c r="C115" s="17" t="s">
        <x:v>428</x:v>
      </x:c>
      <x:c r="D115" s="18">
        <x:v>6635</x:v>
      </x:c>
    </x:row>
    <x:row r="116">
      <x:c r="A116" s="15">
        <x:v>110</x:v>
      </x:c>
      <x:c r="B116" s="16" t="s">
        <x:v>429</x:v>
      </x:c>
      <x:c r="C116" s="15" t="s">
        <x:v>430</x:v>
      </x:c>
      <x:c r="D116" s="16">
        <x:v>4000</x:v>
      </x:c>
    </x:row>
    <x:row r="117">
      <x:c r="A117" s="17">
        <x:v>111</x:v>
      </x:c>
      <x:c r="B117" s="18" t="s">
        <x:v>431</x:v>
      </x:c>
      <x:c r="C117" s="17" t="s">
        <x:v>432</x:v>
      </x:c>
      <x:c r="D117" s="18">
        <x:v>1382</x:v>
      </x:c>
    </x:row>
    <x:row r="118">
      <x:c r="A118" s="15">
        <x:v>112</x:v>
      </x:c>
      <x:c r="B118" s="16" t="s">
        <x:v>433</x:v>
      </x:c>
      <x:c r="C118" s="15" t="s">
        <x:v>434</x:v>
      </x:c>
      <x:c r="D118" s="16">
        <x:v>23709</x:v>
      </x:c>
    </x:row>
    <x:row r="119">
      <x:c r="A119" s="17">
        <x:v>113</x:v>
      </x:c>
      <x:c r="B119" s="18" t="s">
        <x:v>435</x:v>
      </x:c>
      <x:c r="C119" s="17" t="s">
        <x:v>436</x:v>
      </x:c>
      <x:c r="D119" s="18">
        <x:v>778</x:v>
      </x:c>
    </x:row>
    <x:row r="120">
      <x:c r="A120" s="15">
        <x:v>114</x:v>
      </x:c>
      <x:c r="B120" s="16" t="s">
        <x:v>437</x:v>
      </x:c>
      <x:c r="C120" s="15" t="s">
        <x:v>438</x:v>
      </x:c>
      <x:c r="D120" s="16">
        <x:v>2863</x:v>
      </x:c>
    </x:row>
    <x:row r="121">
      <x:c r="A121" s="17">
        <x:v>115</x:v>
      </x:c>
      <x:c r="B121" s="18" t="s">
        <x:v>439</x:v>
      </x:c>
      <x:c r="C121" s="17" t="s">
        <x:v>440</x:v>
      </x:c>
      <x:c r="D121" s="18">
        <x:v>14689</x:v>
      </x:c>
    </x:row>
    <x:row r="122">
      <x:c r="A122" s="15">
        <x:v>116</x:v>
      </x:c>
      <x:c r="B122" s="16" t="s">
        <x:v>441</x:v>
      </x:c>
      <x:c r="C122" s="15" t="s">
        <x:v>442</x:v>
      </x:c>
      <x:c r="D122" s="16">
        <x:v>20604</x:v>
      </x:c>
    </x:row>
    <x:row r="123">
      <x:c r="A123" s="17">
        <x:v>117</x:v>
      </x:c>
      <x:c r="B123" s="18" t="s">
        <x:v>443</x:v>
      </x:c>
      <x:c r="C123" s="17" t="s">
        <x:v>444</x:v>
      </x:c>
      <x:c r="D123" s="18">
        <x:v>22534</x:v>
      </x:c>
    </x:row>
    <x:row r="124">
      <x:c r="A124" s="15">
        <x:v>118</x:v>
      </x:c>
      <x:c r="B124" s="16" t="s">
        <x:v>445</x:v>
      </x:c>
      <x:c r="C124" s="15" t="s">
        <x:v>446</x:v>
      </x:c>
      <x:c r="D124" s="16">
        <x:v>5680</x:v>
      </x:c>
    </x:row>
    <x:row r="125">
      <x:c r="A125" s="17">
        <x:v>119</x:v>
      </x:c>
      <x:c r="B125" s="18" t="s">
        <x:v>447</x:v>
      </x:c>
      <x:c r="C125" s="17" t="s">
        <x:v>448</x:v>
      </x:c>
      <x:c r="D125" s="18">
        <x:v>11325</x:v>
      </x:c>
    </x:row>
    <x:row r="126">
      <x:c r="A126" s="15">
        <x:v>120</x:v>
      </x:c>
      <x:c r="B126" s="16" t="s">
        <x:v>449</x:v>
      </x:c>
      <x:c r="C126" s="15" t="s">
        <x:v>450</x:v>
      </x:c>
      <x:c r="D126" s="16">
        <x:v>10746</x:v>
      </x:c>
    </x:row>
    <x:row r="127" ht="37.25" customHeight="1">
      <x:c r="A127" s="17">
        <x:v>121</x:v>
      </x:c>
      <x:c r="B127" s="18" t="s">
        <x:v>451</x:v>
      </x:c>
      <x:c r="C127" s="17" t="s">
        <x:v>452</x:v>
      </x:c>
      <x:c r="D127" s="18">
        <x:v>2306</x:v>
      </x:c>
    </x:row>
    <x:row r="128">
      <x:c r="A128" s="15">
        <x:v>122</x:v>
      </x:c>
      <x:c r="B128" s="16" t="s">
        <x:v>453</x:v>
      </x:c>
      <x:c r="C128" s="15" t="s">
        <x:v>454</x:v>
      </x:c>
      <x:c r="D128" s="16">
        <x:v>1564</x:v>
      </x:c>
    </x:row>
    <x:row r="129">
      <x:c r="A129" s="17">
        <x:v>123</x:v>
      </x:c>
      <x:c r="B129" s="18" t="s">
        <x:v>455</x:v>
      </x:c>
      <x:c r="C129" s="17" t="s">
        <x:v>456</x:v>
      </x:c>
      <x:c r="D129" s="18">
        <x:v>2673</x:v>
      </x:c>
    </x:row>
    <x:row r="130">
      <x:c r="A130" s="15">
        <x:v>124</x:v>
      </x:c>
      <x:c r="B130" s="16" t="s">
        <x:v>457</x:v>
      </x:c>
      <x:c r="C130" s="15" t="s">
        <x:v>458</x:v>
      </x:c>
      <x:c r="D130" s="16">
        <x:v>2773</x:v>
      </x:c>
    </x:row>
    <x:row r="131">
      <x:c r="A131" s="17">
        <x:v>125</x:v>
      </x:c>
      <x:c r="B131" s="18" t="s">
        <x:v>459</x:v>
      </x:c>
      <x:c r="C131" s="17" t="s">
        <x:v>460</x:v>
      </x:c>
      <x:c r="D131" s="18">
        <x:v>9045</x:v>
      </x:c>
    </x:row>
    <x:row r="132">
      <x:c r="A132" s="15">
        <x:v>126</x:v>
      </x:c>
      <x:c r="B132" s="16" t="s">
        <x:v>461</x:v>
      </x:c>
      <x:c r="C132" s="15" t="s">
        <x:v>462</x:v>
      </x:c>
      <x:c r="D132" s="16">
        <x:v>3759</x:v>
      </x:c>
    </x:row>
    <x:row r="133">
      <x:c r="A133" s="17">
        <x:v>127</x:v>
      </x:c>
      <x:c r="B133" s="18" t="s">
        <x:v>463</x:v>
      </x:c>
      <x:c r="C133" s="17" t="s">
        <x:v>464</x:v>
      </x:c>
      <x:c r="D133" s="18">
        <x:v>18148</x:v>
      </x:c>
    </x:row>
    <x:row r="134">
      <x:c r="A134" s="15">
        <x:v>128</x:v>
      </x:c>
      <x:c r="B134" s="16" t="s">
        <x:v>465</x:v>
      </x:c>
      <x:c r="C134" s="15" t="s">
        <x:v>466</x:v>
      </x:c>
      <x:c r="D134" s="16">
        <x:v>11459</x:v>
      </x:c>
    </x:row>
    <x:row r="135">
      <x:c r="A135" s="17">
        <x:v>129</x:v>
      </x:c>
      <x:c r="B135" s="18" t="s">
        <x:v>467</x:v>
      </x:c>
      <x:c r="C135" s="17" t="s">
        <x:v>468</x:v>
      </x:c>
      <x:c r="D135" s="18">
        <x:v>14657</x:v>
      </x:c>
    </x:row>
    <x:row r="136">
      <x:c r="A136" s="15">
        <x:v>130</x:v>
      </x:c>
      <x:c r="B136" s="16" t="s">
        <x:v>469</x:v>
      </x:c>
      <x:c r="C136" s="15" t="s">
        <x:v>470</x:v>
      </x:c>
      <x:c r="D136" s="16">
        <x:v>9113</x:v>
      </x:c>
    </x:row>
    <x:row r="137">
      <x:c r="A137" s="17">
        <x:v>131</x:v>
      </x:c>
      <x:c r="B137" s="18" t="s">
        <x:v>471</x:v>
      </x:c>
      <x:c r="C137" s="17" t="s">
        <x:v>472</x:v>
      </x:c>
      <x:c r="D137" s="18">
        <x:v>1251</x:v>
      </x:c>
    </x:row>
    <x:row r="138">
      <x:c r="A138" s="15">
        <x:v>132</x:v>
      </x:c>
      <x:c r="B138" s="16" t="s">
        <x:v>473</x:v>
      </x:c>
      <x:c r="C138" s="15" t="s">
        <x:v>474</x:v>
      </x:c>
      <x:c r="D138" s="16">
        <x:v>1276</x:v>
      </x:c>
    </x:row>
    <x:row r="139" ht="37.25" customHeight="1">
      <x:c r="A139" s="17">
        <x:v>133</x:v>
      </x:c>
      <x:c r="B139" s="18" t="s">
        <x:v>475</x:v>
      </x:c>
      <x:c r="C139" s="17" t="s">
        <x:v>476</x:v>
      </x:c>
      <x:c r="D139" s="18">
        <x:v>625</x:v>
      </x:c>
    </x:row>
    <x:row r="140">
      <x:c r="A140" s="15">
        <x:v>134</x:v>
      </x:c>
      <x:c r="B140" s="16" t="s">
        <x:v>477</x:v>
      </x:c>
      <x:c r="C140" s="15" t="s">
        <x:v>478</x:v>
      </x:c>
      <x:c r="D140" s="16">
        <x:v>1643</x:v>
      </x:c>
    </x:row>
    <x:row r="141">
      <x:c r="A141" s="17">
        <x:v>135</x:v>
      </x:c>
      <x:c r="B141" s="18" t="s">
        <x:v>479</x:v>
      </x:c>
      <x:c r="C141" s="17" t="s">
        <x:v>480</x:v>
      </x:c>
      <x:c r="D141" s="18">
        <x:v>851</x:v>
      </x:c>
    </x:row>
    <x:row r="142">
      <x:c r="A142" s="15">
        <x:v>136</x:v>
      </x:c>
      <x:c r="B142" s="16" t="s">
        <x:v>481</x:v>
      </x:c>
      <x:c r="C142" s="15" t="s">
        <x:v>482</x:v>
      </x:c>
      <x:c r="D142" s="16">
        <x:v>1961</x:v>
      </x:c>
    </x:row>
    <x:row r="143">
      <x:c r="A143" s="17">
        <x:v>137</x:v>
      </x:c>
      <x:c r="B143" s="18" t="s">
        <x:v>483</x:v>
      </x:c>
      <x:c r="C143" s="17" t="s">
        <x:v>484</x:v>
      </x:c>
      <x:c r="D143" s="18">
        <x:v>335</x:v>
      </x:c>
    </x:row>
    <x:row r="144">
      <x:c r="A144" s="15">
        <x:v>138</x:v>
      </x:c>
      <x:c r="B144" s="16" t="s">
        <x:v>485</x:v>
      </x:c>
      <x:c r="C144" s="15" t="s">
        <x:v>486</x:v>
      </x:c>
      <x:c r="D144" s="16">
        <x:v>337</x:v>
      </x:c>
    </x:row>
    <x:row r="145">
      <x:c r="A145" s="17">
        <x:v>139</x:v>
      </x:c>
      <x:c r="B145" s="18" t="s">
        <x:v>487</x:v>
      </x:c>
      <x:c r="C145" s="17" t="s">
        <x:v>488</x:v>
      </x:c>
      <x:c r="D145" s="18">
        <x:v>366</x:v>
      </x:c>
    </x:row>
    <x:row r="146">
      <x:c r="A146" s="15">
        <x:v>140</x:v>
      </x:c>
      <x:c r="B146" s="16" t="s">
        <x:v>489</x:v>
      </x:c>
      <x:c r="C146" s="15" t="s">
        <x:v>490</x:v>
      </x:c>
      <x:c r="D146" s="16">
        <x:v>465</x:v>
      </x:c>
    </x:row>
    <x:row r="147">
      <x:c r="A147" s="17">
        <x:v>141</x:v>
      </x:c>
      <x:c r="B147" s="18" t="s">
        <x:v>491</x:v>
      </x:c>
      <x:c r="C147" s="17" t="s">
        <x:v>492</x:v>
      </x:c>
      <x:c r="D147" s="18">
        <x:v>5803</x:v>
      </x:c>
    </x:row>
    <x:row r="148" ht="37.25" customHeight="1">
      <x:c r="A148" s="15">
        <x:v>142</x:v>
      </x:c>
      <x:c r="B148" s="16" t="s">
        <x:v>493</x:v>
      </x:c>
      <x:c r="C148" s="15" t="s">
        <x:v>494</x:v>
      </x:c>
      <x:c r="D148" s="16">
        <x:v>5366</x:v>
      </x:c>
    </x:row>
    <x:row r="149" ht="37.25" customHeight="1">
      <x:c r="A149" s="17">
        <x:v>143</x:v>
      </x:c>
      <x:c r="B149" s="18" t="s">
        <x:v>495</x:v>
      </x:c>
      <x:c r="C149" s="17" t="s">
        <x:v>496</x:v>
      </x:c>
      <x:c r="D149" s="18">
        <x:v>9644</x:v>
      </x:c>
    </x:row>
    <x:row r="150" ht="37.25" customHeight="1">
      <x:c r="A150" s="17">
        <x:v>145</x:v>
      </x:c>
      <x:c r="B150" s="18" t="s">
        <x:v>497</x:v>
      </x:c>
      <x:c r="C150" s="17" t="s">
        <x:v>498</x:v>
      </x:c>
      <x:c r="D150" s="18">
        <x:v>13442</x:v>
      </x:c>
    </x:row>
    <x:row r="151">
      <x:c r="A151" s="15">
        <x:v>146</x:v>
      </x:c>
      <x:c r="B151" s="16" t="s">
        <x:v>499</x:v>
      </x:c>
      <x:c r="C151" s="15" t="s">
        <x:v>500</x:v>
      </x:c>
      <x:c r="D151" s="16">
        <x:v>4105</x:v>
      </x:c>
    </x:row>
    <x:row r="152">
      <x:c r="A152" s="17">
        <x:v>147</x:v>
      </x:c>
      <x:c r="B152" s="18" t="s">
        <x:v>501</x:v>
      </x:c>
      <x:c r="C152" s="17" t="s">
        <x:v>502</x:v>
      </x:c>
      <x:c r="D152" s="18">
        <x:v>13705</x:v>
      </x:c>
    </x:row>
    <x:row r="153">
      <x:c r="A153" s="15">
        <x:v>148</x:v>
      </x:c>
      <x:c r="B153" s="16" t="s">
        <x:v>503</x:v>
      </x:c>
      <x:c r="C153" s="15" t="s">
        <x:v>504</x:v>
      </x:c>
      <x:c r="D153" s="16">
        <x:v>10177</x:v>
      </x:c>
    </x:row>
    <x:row r="154">
      <x:c r="A154" s="17">
        <x:v>149</x:v>
      </x:c>
      <x:c r="B154" s="18" t="s">
        <x:v>505</x:v>
      </x:c>
      <x:c r="C154" s="17" t="s">
        <x:v>506</x:v>
      </x:c>
      <x:c r="D154" s="18">
        <x:v>415</x:v>
      </x:c>
    </x:row>
    <x:row r="155">
      <x:c r="A155" s="15">
        <x:v>150</x:v>
      </x:c>
      <x:c r="B155" s="16" t="s">
        <x:v>507</x:v>
      </x:c>
      <x:c r="C155" s="15" t="s">
        <x:v>508</x:v>
      </x:c>
      <x:c r="D155" s="16">
        <x:v>8410</x:v>
      </x:c>
    </x:row>
    <x:row r="156">
      <x:c r="A156" s="17">
        <x:v>151</x:v>
      </x:c>
      <x:c r="B156" s="18" t="s">
        <x:v>509</x:v>
      </x:c>
      <x:c r="C156" s="17" t="s">
        <x:v>510</x:v>
      </x:c>
      <x:c r="D156" s="18">
        <x:v>2560</x:v>
      </x:c>
    </x:row>
    <x:row r="157">
      <x:c r="A157" s="15">
        <x:v>152</x:v>
      </x:c>
      <x:c r="B157" s="16" t="s">
        <x:v>511</x:v>
      </x:c>
      <x:c r="C157" s="15" t="s">
        <x:v>512</x:v>
      </x:c>
      <x:c r="D157" s="16">
        <x:v>1610</x:v>
      </x:c>
    </x:row>
    <x:row r="158">
      <x:c r="A158" s="17">
        <x:v>153</x:v>
      </x:c>
      <x:c r="B158" s="18" t="s">
        <x:v>513</x:v>
      </x:c>
      <x:c r="C158" s="17" t="s">
        <x:v>514</x:v>
      </x:c>
      <x:c r="D158" s="18">
        <x:v>251</x:v>
      </x:c>
    </x:row>
    <x:row r="159" ht="28">
      <x:c r="A159" s="15">
        <x:v>154</x:v>
      </x:c>
      <x:c r="B159" s="16" t="s">
        <x:v>515</x:v>
      </x:c>
      <x:c r="C159" s="15" t="s">
        <x:v>516</x:v>
      </x:c>
      <x:c r="D159" s="16">
        <x:v>58533</x:v>
      </x:c>
    </x:row>
    <x:row r="160" ht="37.25" customHeight="1">
      <x:c r="A160" s="17">
        <x:v>155</x:v>
      </x:c>
      <x:c r="B160" s="18" t="s">
        <x:v>517</x:v>
      </x:c>
      <x:c r="C160" s="17" t="s">
        <x:v>518</x:v>
      </x:c>
      <x:c r="D160" s="18">
        <x:v>50332</x:v>
      </x:c>
    </x:row>
    <x:row r="161" ht="37.25" customHeight="1">
      <x:c r="A161" s="15">
        <x:v>156</x:v>
      </x:c>
      <x:c r="B161" s="16" t="s">
        <x:v>519</x:v>
      </x:c>
      <x:c r="C161" s="15" t="s">
        <x:v>520</x:v>
      </x:c>
      <x:c r="D161" s="16">
        <x:v>19896</x:v>
      </x:c>
    </x:row>
    <x:row r="162">
      <x:c r="A162" s="17">
        <x:v>157</x:v>
      </x:c>
      <x:c r="B162" s="18" t="s">
        <x:v>521</x:v>
      </x:c>
      <x:c r="C162" s="17" t="s">
        <x:v>522</x:v>
      </x:c>
      <x:c r="D162" s="18">
        <x:v>62669</x:v>
      </x:c>
    </x:row>
    <x:row r="163">
      <x:c r="A163" s="15">
        <x:v>158</x:v>
      </x:c>
      <x:c r="B163" s="16" t="s">
        <x:v>523</x:v>
      </x:c>
      <x:c r="C163" s="15" t="s">
        <x:v>524</x:v>
      </x:c>
      <x:c r="D163" s="16">
        <x:v>53995</x:v>
      </x:c>
    </x:row>
    <x:row r="164" ht="28">
      <x:c r="A164" s="17">
        <x:v>159</x:v>
      </x:c>
      <x:c r="B164" s="18" t="s">
        <x:v>525</x:v>
      </x:c>
      <x:c r="C164" s="17" t="s">
        <x:v>526</x:v>
      </x:c>
      <x:c r="D164" s="18">
        <x:v>7978</x:v>
      </x:c>
    </x:row>
    <x:row r="165" ht="37.25" customHeight="1">
      <x:c r="A165" s="15">
        <x:v>160</x:v>
      </x:c>
      <x:c r="B165" s="16" t="s">
        <x:v>527</x:v>
      </x:c>
      <x:c r="C165" s="15" t="s">
        <x:v>528</x:v>
      </x:c>
      <x:c r="D165" s="16">
        <x:v>55157</x:v>
      </x:c>
    </x:row>
    <x:row r="166">
      <x:c r="A166" s="17">
        <x:v>161</x:v>
      </x:c>
      <x:c r="B166" s="18" t="s">
        <x:v>529</x:v>
      </x:c>
      <x:c r="C166" s="17" t="s">
        <x:v>530</x:v>
      </x:c>
      <x:c r="D166" s="18">
        <x:v>3874</x:v>
      </x:c>
    </x:row>
    <x:row r="167">
      <x:c r="A167" s="15">
        <x:v>162</x:v>
      </x:c>
      <x:c r="B167" s="16" t="s">
        <x:v>531</x:v>
      </x:c>
      <x:c r="C167" s="15" t="s">
        <x:v>532</x:v>
      </x:c>
      <x:c r="D167" s="16">
        <x:v>4827</x:v>
      </x:c>
    </x:row>
    <x:row r="168">
      <x:c r="A168" s="17">
        <x:v>163</x:v>
      </x:c>
      <x:c r="B168" s="18" t="s">
        <x:v>533</x:v>
      </x:c>
      <x:c r="C168" s="17" t="s">
        <x:v>534</x:v>
      </x:c>
      <x:c r="D168" s="18">
        <x:v>3716</x:v>
      </x:c>
    </x:row>
    <x:row r="169">
      <x:c r="A169" s="15">
        <x:v>164</x:v>
      </x:c>
      <x:c r="B169" s="16" t="s">
        <x:v>535</x:v>
      </x:c>
      <x:c r="C169" s="15" t="s">
        <x:v>536</x:v>
      </x:c>
      <x:c r="D169" s="16">
        <x:v>13704</x:v>
      </x:c>
    </x:row>
    <x:row r="170">
      <x:c r="A170" s="17">
        <x:v>165</x:v>
      </x:c>
      <x:c r="B170" s="18" t="s">
        <x:v>537</x:v>
      </x:c>
      <x:c r="C170" s="17" t="s">
        <x:v>538</x:v>
      </x:c>
      <x:c r="D170" s="18">
        <x:v>4270</x:v>
      </x:c>
    </x:row>
    <x:row r="171">
      <x:c r="A171" s="15">
        <x:v>166</x:v>
      </x:c>
      <x:c r="B171" s="16" t="s">
        <x:v>539</x:v>
      </x:c>
      <x:c r="C171" s="15" t="s">
        <x:v>540</x:v>
      </x:c>
      <x:c r="D171" s="16">
        <x:v>2781</x:v>
      </x:c>
    </x:row>
    <x:row r="172">
      <x:c r="A172" s="17">
        <x:v>167</x:v>
      </x:c>
      <x:c r="B172" s="18" t="s">
        <x:v>541</x:v>
      </x:c>
      <x:c r="C172" s="17" t="s">
        <x:v>542</x:v>
      </x:c>
      <x:c r="D172" s="18">
        <x:v>3325</x:v>
      </x:c>
    </x:row>
    <x:row r="173">
      <x:c r="A173" s="15">
        <x:v>168</x:v>
      </x:c>
      <x:c r="B173" s="16" t="s">
        <x:v>543</x:v>
      </x:c>
      <x:c r="C173" s="15" t="s">
        <x:v>544</x:v>
      </x:c>
      <x:c r="D173" s="16">
        <x:v>7744</x:v>
      </x:c>
    </x:row>
    <x:row r="174">
      <x:c r="A174" s="17">
        <x:v>169</x:v>
      </x:c>
      <x:c r="B174" s="18" t="s">
        <x:v>545</x:v>
      </x:c>
      <x:c r="C174" s="17" t="s">
        <x:v>546</x:v>
      </x:c>
      <x:c r="D174" s="18">
        <x:v>718</x:v>
      </x:c>
    </x:row>
    <x:row r="175">
      <x:c r="A175" s="15">
        <x:v>170</x:v>
      </x:c>
      <x:c r="B175" s="16" t="s">
        <x:v>547</x:v>
      </x:c>
      <x:c r="C175" s="15" t="s">
        <x:v>548</x:v>
      </x:c>
      <x:c r="D175" s="16">
        <x:v>1468</x:v>
      </x:c>
    </x:row>
  </x:sheetData>
  <x:mergeCells>
    <x:mergeCell ref="A1:I1"/>
    <x:mergeCell ref="A4:I4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6640625" defaultRowHeight="15"/>
  <x:cols>
    <x:col min="1" max="2" width="12" customWidth="1"/>
    <x:col min="3" max="4" width="22" customWidth="1"/>
  </x:cols>
  <x:sheetData>
    <x:row r="1" s="5" customFormat="1" ht="37" customHeight="1">
      <x:c r="A1" s="38" t="s">
        <x:v>549</x:v>
      </x:c>
      <x:c r="B1" s="34"/>
      <x:c r="C1" s="34"/>
      <x:c r="D1" s="34"/>
      <x:c r="E1" s="34"/>
      <x:c r="F1" s="34"/>
      <x:c r="G1" s="34"/>
      <x:c r="H1" s="34"/>
      <x:c r="I1" s="34"/>
    </x:row>
    <x:row r="2" s="5" customFormat="1" ht="26" customHeight="1">
      <x:c r="A2" s="41" t="s">
        <x:v>550</x:v>
      </x:c>
      <x:c r="B2" s="34"/>
      <x:c r="C2" s="34"/>
      <x:c r="D2" s="34"/>
      <x:c r="E2" s="34"/>
      <x:c r="F2" s="34"/>
      <x:c r="G2" s="34"/>
      <x:c r="H2" s="34"/>
      <x:c r="I2" s="34"/>
    </x:row>
    <x:row r="3" s="5" customFormat="1" ht="18.75" customHeight="1"/>
    <x:row r="4" s="5" customFormat="1" ht="20" customHeight="1">
      <x:c r="A4" s="39"/>
      <x:c r="B4" s="40"/>
      <x:c r="C4" s="40"/>
      <x:c r="D4" s="40"/>
      <x:c r="E4" s="40"/>
      <x:c r="F4" s="40"/>
      <x:c r="G4" s="40"/>
      <x:c r="H4" s="40"/>
      <x:c r="I4" s="40"/>
    </x:row>
    <x:row r="5" s="5" customFormat="1" ht="20" customHeight="1">
      <x:c r="A5" s="21" t="s">
        <x:v>551</x:v>
      </x:c>
      <x:c r="B5" s="21" t="s">
        <x:v>552</x:v>
      </x:c>
      <x:c r="C5" s="21" t="s">
        <x:v>553</x:v>
      </x:c>
      <x:c r="D5" s="21" t="s">
        <x:v>554</x:v>
      </x:c>
      <x:c r="E5" s="11"/>
      <x:c r="F5" s="11"/>
      <x:c r="G5" s="11"/>
      <x:c r="H5" s="11"/>
      <x:c r="I5" s="11"/>
    </x:row>
    <x:row r="6" ht="20" customHeight="1">
      <x:c r="A6" s="2">
        <x:v>84.876999999999995</x:v>
      </x:c>
      <x:c r="B6" s="2">
        <x:v>27.013999999999999</x:v>
      </x:c>
      <x:c r="C6" s="2">
        <x:v>8.8000000000000007</x:v>
      </x:c>
      <x:c r="D6" s="1" t="s">
        <x:v>536</x:v>
      </x:c>
    </x:row>
    <x:row r="7" ht="20" customHeight="1">
      <x:c r="A7" s="4">
        <x:v>87.272000000000006</x:v>
      </x:c>
      <x:c r="B7" s="4">
        <x:v>26.452999999999999</x:v>
      </x:c>
      <x:c r="C7" s="4">
        <x:v>2.2000000000000002</x:v>
      </x:c>
      <x:c r="D7" s="3" t="s">
        <x:v>555</x:v>
      </x:c>
    </x:row>
    <x:row r="8" ht="20" customHeight="1">
      <x:c r="A8" s="2">
        <x:v>83.415999999999997</x:v>
      </x:c>
      <x:c r="B8" s="2">
        <x:v>27.506</x:v>
      </x:c>
      <x:c r="C8" s="2">
        <x:v>1.4</x:v>
      </x:c>
      <x:c r="D8" s="1" t="s">
        <x:v>556</x:v>
      </x:c>
    </x:row>
    <x:row r="9" ht="20" customHeight="1">
      <x:c r="A9" s="4">
        <x:v>88.081999999999994</x:v>
      </x:c>
      <x:c r="B9" s="4">
        <x:v>26.571000000000002</x:v>
      </x:c>
      <x:c r="C9" s="4">
        <x:v>0.8</x:v>
      </x:c>
      <x:c r="D9" s="3" t="s">
        <x:v>557</x:v>
      </x:c>
    </x:row>
    <x:row r="10" ht="20" customHeight="1">
      <x:c r="A10" s="2">
        <x:v>81.617000000000004</x:v>
      </x:c>
      <x:c r="B10" s="2">
        <x:v>28.05</x:v>
      </x:c>
      <x:c r="C10" s="2">
        <x:v>1.1000000000000001</x:v>
      </x:c>
      <x:c r="D10" s="1" t="s">
        <x:v>538</x:v>
      </x:c>
    </x:row>
    <x:row r="11" ht="20" customHeight="1">
      <x:c r="A11" s="4">
        <x:v>80.599000000000004</x:v>
      </x:c>
      <x:c r="B11" s="4">
        <x:v>28.681999999999999</x:v>
      </x:c>
      <x:c r="C11" s="4">
        <x:v>0.55000000000000004</x:v>
      </x:c>
      <x:c r="D11" s="3" t="s">
        <x:v>558</x:v>
      </x:c>
    </x:row>
    <x:row r="12" ht="20" customHeight="1">
      <x:c r="A12" s="2">
        <x:v>84.98</x:v>
      </x:c>
      <x:c r="B12" s="2">
        <x:v>27.16</x:v>
      </x:c>
      <x:c r="C12" s="2">
        <x:v>0.35</x:v>
      </x:c>
      <x:c r="D12" s="1" t="s">
        <x:v>559</x:v>
      </x:c>
    </x:row>
    <x:row r="14" ht="40" customHeight="1">
      <x:c r="A14" s="42" t="s">
        <x:v>560</x:v>
      </x:c>
      <x:c r="B14" s="36"/>
      <x:c r="C14" s="36"/>
      <x:c r="D14" s="36"/>
    </x:row>
  </x:sheetData>
  <x:mergeCells>
    <x:mergeCell ref="A1:I1"/>
    <x:mergeCell ref="A4:I4"/>
    <x:mergeCell ref="A2:I2"/>
    <x:mergeCell ref="A14:D1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6640625" defaultRowHeight="14"/>
  <x:cols>
    <x:col min="1" max="1" width="12" style="5" customWidth="1"/>
    <x:col min="2" max="2" width="28" style="5" customWidth="1"/>
    <x:col min="3" max="4" width="12" style="5" customWidth="1"/>
    <x:col min="5" max="5" width="16" style="5" customWidth="1"/>
    <x:col min="6" max="6" width="10" style="5" customWidth="1"/>
    <x:col min="7" max="9" width="8.6640625" style="5" customWidth="1"/>
    <x:col min="10" max="16384" width="8.6640625" style="5" customWidth="0"/>
  </x:cols>
  <x:sheetData>
    <x:row r="1" ht="37" customHeight="1">
      <x:c r="A1" s="38" t="s">
        <x:v>561</x:v>
      </x:c>
      <x:c r="B1" s="34"/>
      <x:c r="C1" s="34"/>
      <x:c r="D1" s="34"/>
      <x:c r="E1" s="34"/>
      <x:c r="F1" s="34"/>
      <x:c r="G1" s="34"/>
      <x:c r="H1" s="34"/>
      <x:c r="I1" s="34"/>
    </x:row>
    <x:row r="2" ht="44" customHeight="1">
      <x:c r="A2" s="41" t="s">
        <x:v>562</x:v>
      </x:c>
      <x:c r="B2" s="34"/>
      <x:c r="C2" s="34"/>
      <x:c r="D2" s="34"/>
      <x:c r="E2" s="34"/>
      <x:c r="F2" s="34"/>
      <x:c r="G2" s="34"/>
      <x:c r="H2" s="34"/>
      <x:c r="I2" s="34"/>
    </x:row>
    <x:row r="4" ht="20" customHeight="1">
      <x:c r="A4" s="39"/>
      <x:c r="B4" s="40"/>
      <x:c r="C4" s="40"/>
      <x:c r="D4" s="40"/>
      <x:c r="E4" s="40"/>
      <x:c r="F4" s="40"/>
      <x:c r="G4" s="40"/>
      <x:c r="H4" s="40"/>
      <x:c r="I4" s="40"/>
    </x:row>
    <x:row r="5" ht="20" customHeight="1">
      <x:c r="A5" s="21" t="s">
        <x:v>563</x:v>
      </x:c>
      <x:c r="B5" s="21" t="s">
        <x:v>564</x:v>
      </x:c>
      <x:c r="C5" s="21" t="s">
        <x:v>551</x:v>
      </x:c>
      <x:c r="D5" s="21" t="s">
        <x:v>552</x:v>
      </x:c>
      <x:c r="E5" s="21" t="s">
        <x:v>565</x:v>
      </x:c>
      <x:c r="F5" s="21" t="s">
        <x:v>566</x:v>
      </x:c>
      <x:c r="G5" s="11"/>
      <x:c r="H5" s="11"/>
      <x:c r="I5" s="11"/>
    </x:row>
    <x:row r="6" ht="20" customHeight="1">
      <x:c r="A6" s="13" t="s">
        <x:v>567</x:v>
      </x:c>
      <x:c r="B6" s="6" t="s">
        <x:v>568</x:v>
      </x:c>
      <x:c r="C6" s="7">
        <x:v>85.359200000000001</x:v>
      </x:c>
      <x:c r="D6" s="7">
        <x:v>27.6966</x:v>
      </x:c>
      <x:c r="E6" s="6" t="s">
        <x:v>569</x:v>
      </x:c>
      <x:c r="F6" s="6" t="s">
        <x:v>570</x:v>
      </x:c>
    </x:row>
    <x:row r="7" ht="20" customHeight="1">
      <x:c r="A7" s="14" t="s">
        <x:v>571</x:v>
      </x:c>
      <x:c r="B7" s="8" t="s">
        <x:v>572</x:v>
      </x:c>
      <x:c r="C7" s="9">
        <x:v>83.982600000000005</x:v>
      </x:c>
      <x:c r="D7" s="9">
        <x:v>28.200900000000001</x:v>
      </x:c>
      <x:c r="E7" s="8" t="s">
        <x:v>569</x:v>
      </x:c>
      <x:c r="F7" s="8" t="s">
        <x:v>570</x:v>
      </x:c>
    </x:row>
    <x:row r="8" ht="20" customHeight="1">
      <x:c r="A8" s="13" t="s">
        <x:v>573</x:v>
      </x:c>
      <x:c r="B8" s="6" t="s">
        <x:v>555</x:v>
      </x:c>
      <x:c r="C8" s="7">
        <x:v>87.263999999999996</x:v>
      </x:c>
      <x:c r="D8" s="7">
        <x:v>26.4815</x:v>
      </x:c>
      <x:c r="E8" s="6" t="s">
        <x:v>574</x:v>
      </x:c>
      <x:c r="F8" s="6" t="s">
        <x:v>567</x:v>
      </x:c>
    </x:row>
    <x:row r="9" ht="20" customHeight="1">
      <x:c r="A9" s="14" t="s">
        <x:v>575</x:v>
      </x:c>
      <x:c r="B9" s="8" t="s">
        <x:v>576</x:v>
      </x:c>
      <x:c r="C9" s="9">
        <x:v>84.429400000000001</x:v>
      </x:c>
      <x:c r="D9" s="9">
        <x:v>27.678100000000001</x:v>
      </x:c>
      <x:c r="E9" s="8" t="s">
        <x:v>574</x:v>
      </x:c>
      <x:c r="F9" s="8" t="s">
        <x:v>567</x:v>
      </x:c>
    </x:row>
    <x:row r="10" ht="20" customHeight="1">
      <x:c r="A10" s="13" t="s">
        <x:v>577</x:v>
      </x:c>
      <x:c r="B10" s="6" t="s">
        <x:v>532</x:v>
      </x:c>
      <x:c r="C10" s="7">
        <x:v>85.922200000000004</x:v>
      </x:c>
      <x:c r="D10" s="7">
        <x:v>26.7088</x:v>
      </x:c>
      <x:c r="E10" s="6" t="s">
        <x:v>574</x:v>
      </x:c>
      <x:c r="F10" s="6" t="s">
        <x:v>567</x:v>
      </x:c>
    </x:row>
    <x:row r="11" ht="20" customHeight="1">
      <x:c r="A11" s="14" t="s">
        <x:v>578</x:v>
      </x:c>
      <x:c r="B11" s="8" t="s">
        <x:v>538</x:v>
      </x:c>
      <x:c r="C11" s="9">
        <x:v>81.666899999999998</x:v>
      </x:c>
      <x:c r="D11" s="9">
        <x:v>28.1036</x:v>
      </x:c>
      <x:c r="E11" s="8" t="s">
        <x:v>574</x:v>
      </x:c>
      <x:c r="F11" s="8" t="s">
        <x:v>567</x:v>
      </x:c>
    </x:row>
    <x:row r="12" ht="20" customHeight="1">
      <x:c r="A12" s="13" t="s">
        <x:v>579</x:v>
      </x:c>
      <x:c r="B12" s="6" t="s">
        <x:v>558</x:v>
      </x:c>
      <x:c r="C12" s="7">
        <x:v>80.581900000000005</x:v>
      </x:c>
      <x:c r="D12" s="7">
        <x:v>28.753299999999999</x:v>
      </x:c>
      <x:c r="E12" s="6" t="s">
        <x:v>574</x:v>
      </x:c>
      <x:c r="F12" s="6" t="s">
        <x:v>567</x:v>
      </x:c>
    </x:row>
    <x:row r="13" ht="20" customHeight="1">
      <x:c r="A13" s="14" t="s">
        <x:v>580</x:v>
      </x:c>
      <x:c r="B13" s="8" t="s">
        <x:v>581</x:v>
      </x:c>
      <x:c r="C13" s="9">
        <x:v>81.636099999999999</x:v>
      </x:c>
      <x:c r="D13" s="9">
        <x:v>28.585999999999999</x:v>
      </x:c>
      <x:c r="E13" s="8" t="s">
        <x:v>574</x:v>
      </x:c>
      <x:c r="F13" s="8" t="s">
        <x:v>567</x:v>
      </x:c>
    </x:row>
    <x:row r="14" ht="20" customHeight="1">
      <x:c r="A14" s="13" t="s">
        <x:v>582</x:v>
      </x:c>
      <x:c r="B14" s="6" t="s">
        <x:v>583</x:v>
      </x:c>
      <x:c r="C14" s="7">
        <x:v>88.079599999999999</x:v>
      </x:c>
      <x:c r="D14" s="7">
        <x:v>26.570799999999998</x:v>
      </x:c>
      <x:c r="E14" s="6" t="s">
        <x:v>574</x:v>
      </x:c>
      <x:c r="F14" s="6" t="s">
        <x:v>567</x:v>
      </x:c>
    </x:row>
    <x:row r="15" ht="20" customHeight="1">
      <x:c r="A15" s="14" t="s">
        <x:v>584</x:v>
      </x:c>
      <x:c r="B15" s="8" t="s">
        <x:v>559</x:v>
      </x:c>
      <x:c r="C15" s="9">
        <x:v>84.980099999999993</x:v>
      </x:c>
      <x:c r="D15" s="9">
        <x:v>27.159400000000002</x:v>
      </x:c>
      <x:c r="E15" s="8" t="s">
        <x:v>574</x:v>
      </x:c>
      <x:c r="F15" s="8" t="s">
        <x:v>567</x:v>
      </x:c>
    </x:row>
    <x:row r="16" ht="20" customHeight="1">
      <x:c r="A16" s="13" t="s">
        <x:v>585</x:v>
      </x:c>
      <x:c r="B16" s="6" t="s">
        <x:v>586</x:v>
      </x:c>
      <x:c r="C16" s="7">
        <x:v>86.730400000000003</x:v>
      </x:c>
      <x:c r="D16" s="7">
        <x:v>26.509399999999999</x:v>
      </x:c>
      <x:c r="E16" s="6" t="s">
        <x:v>574</x:v>
      </x:c>
      <x:c r="F16" s="6" t="s">
        <x:v>567</x:v>
      </x:c>
    </x:row>
    <x:row r="17" ht="20" customHeight="1">
      <x:c r="A17" s="14" t="s">
        <x:v>587</x:v>
      </x:c>
      <x:c r="B17" s="8" t="s">
        <x:v>556</x:v>
      </x:c>
      <x:c r="C17" s="9">
        <x:v>83.416399999999996</x:v>
      </x:c>
      <x:c r="D17" s="9">
        <x:v>27.505700000000001</x:v>
      </x:c>
      <x:c r="E17" s="8" t="s">
        <x:v>588</x:v>
      </x:c>
      <x:c r="F17" s="8" t="s">
        <x:v>567</x:v>
      </x:c>
    </x:row>
    <x:row r="18" ht="20" customHeight="1">
      <x:c r="A18" s="13" t="s">
        <x:v>589</x:v>
      </x:c>
      <x:c r="B18" s="6" t="s">
        <x:v>590</x:v>
      </x:c>
      <x:c r="C18" s="7">
        <x:v>86.063199999999995</x:v>
      </x:c>
      <x:c r="D18" s="7">
        <x:v>27.393599999999999</x:v>
      </x:c>
      <x:c r="E18" s="6" t="s">
        <x:v>574</x:v>
      </x:c>
      <x:c r="F18" s="6" t="s">
        <x:v>567</x:v>
      </x:c>
    </x:row>
    <x:row r="19" ht="20" customHeight="1">
      <x:c r="A19" s="14" t="s">
        <x:v>591</x:v>
      </x:c>
      <x:c r="B19" s="8" t="s">
        <x:v>592</x:v>
      </x:c>
      <x:c r="C19" s="9">
        <x:v>86.729699999999994</x:v>
      </x:c>
      <x:c r="D19" s="9">
        <x:v>27.686900000000001</x:v>
      </x:c>
      <x:c r="E19" s="8" t="s">
        <x:v>593</x:v>
      </x:c>
      <x:c r="F19" s="8" t="s">
        <x:v>567</x:v>
      </x:c>
    </x:row>
    <x:row r="20" ht="20" customHeight="1">
      <x:c r="A20" s="13" t="s">
        <x:v>594</x:v>
      </x:c>
      <x:c r="B20" s="6" t="s">
        <x:v>595</x:v>
      </x:c>
      <x:c r="C20" s="7">
        <x:v>83.722999999999999</x:v>
      </x:c>
      <x:c r="D20" s="7">
        <x:v>28.7806</x:v>
      </x:c>
      <x:c r="E20" s="6" t="s">
        <x:v>593</x:v>
      </x:c>
      <x:c r="F20" s="6" t="s">
        <x:v>571</x:v>
      </x:c>
    </x:row>
    <x:row r="21" ht="20" customHeight="1">
      <x:c r="A21" s="14" t="s">
        <x:v>596</x:v>
      </x:c>
      <x:c r="B21" s="8" t="s">
        <x:v>597</x:v>
      </x:c>
      <x:c r="C21" s="9">
        <x:v>84.019099999999995</x:v>
      </x:c>
      <x:c r="D21" s="9">
        <x:v>28.641400000000001</x:v>
      </x:c>
      <x:c r="E21" s="8" t="s">
        <x:v>593</x:v>
      </x:c>
      <x:c r="F21" s="8" t="s">
        <x:v>571</x:v>
      </x:c>
    </x:row>
    <x:row r="22" ht="20" customHeight="1">
      <x:c r="A22" s="13" t="s">
        <x:v>598</x:v>
      </x:c>
      <x:c r="B22" s="6" t="s">
        <x:v>599</x:v>
      </x:c>
      <x:c r="C22" s="7">
        <x:v>86.584400000000002</x:v>
      </x:c>
      <x:c r="D22" s="7">
        <x:v>27.517499999999998</x:v>
      </x:c>
      <x:c r="E22" s="6" t="s">
        <x:v>593</x:v>
      </x:c>
      <x:c r="F22" s="6" t="s">
        <x:v>567</x:v>
      </x:c>
    </x:row>
    <x:row r="23" ht="20" customHeight="1">
      <x:c r="A23" s="14" t="s">
        <x:v>600</x:v>
      </x:c>
      <x:c r="B23" s="8" t="s">
        <x:v>601</x:v>
      </x:c>
      <x:c r="C23" s="9">
        <x:v>87.695300000000003</x:v>
      </x:c>
      <x:c r="D23" s="9">
        <x:v>27.3508</x:v>
      </x:c>
      <x:c r="E23" s="8" t="s">
        <x:v>593</x:v>
      </x:c>
      <x:c r="F23" s="8" t="s">
        <x:v>567</x:v>
      </x:c>
    </x:row>
    <x:row r="24" ht="20" customHeight="1">
      <x:c r="A24" s="13" t="s">
        <x:v>602</x:v>
      </x:c>
      <x:c r="B24" s="6" t="s">
        <x:v>603</x:v>
      </x:c>
      <x:c r="C24" s="7">
        <x:v>87.193299999999994</x:v>
      </x:c>
      <x:c r="D24" s="7">
        <x:v>27.315000000000001</x:v>
      </x:c>
      <x:c r="E24" s="6" t="s">
        <x:v>593</x:v>
      </x:c>
      <x:c r="F24" s="6" t="s">
        <x:v>567</x:v>
      </x:c>
    </x:row>
    <x:row r="25" ht="20" customHeight="1">
      <x:c r="A25" s="14" t="s">
        <x:v>604</x:v>
      </x:c>
      <x:c r="B25" s="8" t="s">
        <x:v>605</x:v>
      </x:c>
      <x:c r="C25" s="9">
        <x:v>87.050799999999995</x:v>
      </x:c>
      <x:c r="D25" s="9">
        <x:v>27.1478</x:v>
      </x:c>
      <x:c r="E25" s="8" t="s">
        <x:v>593</x:v>
      </x:c>
      <x:c r="F25" s="8" t="s">
        <x:v>567</x:v>
      </x:c>
    </x:row>
    <x:row r="26" ht="20" customHeight="1">
      <x:c r="A26" s="13" t="s">
        <x:v>606</x:v>
      </x:c>
      <x:c r="B26" s="6" t="s">
        <x:v>607</x:v>
      </x:c>
      <x:c r="C26" s="7">
        <x:v>86.699700000000007</x:v>
      </x:c>
      <x:c r="D26" s="7">
        <x:v>27.253599999999999</x:v>
      </x:c>
      <x:c r="E26" s="6" t="s">
        <x:v>593</x:v>
      </x:c>
      <x:c r="F26" s="6" t="s">
        <x:v>567</x:v>
      </x:c>
    </x:row>
    <x:row r="27" ht="20" customHeight="1">
      <x:c r="A27" s="14" t="s">
        <x:v>608</x:v>
      </x:c>
      <x:c r="B27" s="8" t="s">
        <x:v>609</x:v>
      </x:c>
      <x:c r="C27" s="9">
        <x:v>82.819699999999997</x:v>
      </x:c>
      <x:c r="D27" s="9">
        <x:v>28.985800000000001</x:v>
      </x:c>
      <x:c r="E27" s="8" t="s">
        <x:v>593</x:v>
      </x:c>
      <x:c r="F27" s="8" t="s">
        <x:v>567</x:v>
      </x:c>
    </x:row>
    <x:row r="28" ht="20" customHeight="1">
      <x:c r="A28" s="13" t="s">
        <x:v>610</x:v>
      </x:c>
      <x:c r="B28" s="6" t="s">
        <x:v>611</x:v>
      </x:c>
      <x:c r="C28" s="7">
        <x:v>82.193299999999994</x:v>
      </x:c>
      <x:c r="D28" s="7">
        <x:v>29.2742</x:v>
      </x:c>
      <x:c r="E28" s="6" t="s">
        <x:v>593</x:v>
      </x:c>
      <x:c r="F28" s="6" t="s">
        <x:v>567</x:v>
      </x:c>
    </x:row>
    <x:row r="29" ht="20" customHeight="1">
      <x:c r="A29" s="14" t="s">
        <x:v>612</x:v>
      </x:c>
      <x:c r="B29" s="8" t="s">
        <x:v>613</x:v>
      </x:c>
      <x:c r="C29" s="9">
        <x:v>83.153899999999993</x:v>
      </x:c>
      <x:c r="D29" s="9">
        <x:v>28.7578</x:v>
      </x:c>
      <x:c r="E29" s="8" t="s">
        <x:v>593</x:v>
      </x:c>
      <x:c r="F29" s="8" t="s">
        <x:v>571</x:v>
      </x:c>
    </x:row>
    <x:row r="30" ht="20" customHeight="1">
      <x:c r="A30" s="13" t="s">
        <x:v>614</x:v>
      </x:c>
      <x:c r="B30" s="6" t="s">
        <x:v>615</x:v>
      </x:c>
      <x:c r="C30" s="7">
        <x:v>82.533000000000001</x:v>
      </x:c>
      <x:c r="D30" s="7">
        <x:v>28.385999999999999</x:v>
      </x:c>
      <x:c r="E30" s="6" t="s">
        <x:v>593</x:v>
      </x:c>
      <x:c r="F30" s="6" t="s">
        <x:v>567</x:v>
      </x:c>
    </x:row>
    <x:row r="31" ht="20" customHeight="1">
      <x:c r="A31" s="14" t="s">
        <x:v>616</x:v>
      </x:c>
      <x:c r="B31" s="8" t="s">
        <x:v>617</x:v>
      </x:c>
      <x:c r="C31" s="9">
        <x:v>81.197400000000002</x:v>
      </x:c>
      <x:c r="D31" s="9">
        <x:v>29.462399999999999</x:v>
      </x:c>
      <x:c r="E31" s="8" t="s">
        <x:v>593</x:v>
      </x:c>
      <x:c r="F31" s="8" t="s">
        <x:v>567</x:v>
      </x:c>
    </x:row>
    <x:row r="32" ht="20" customHeight="1">
      <x:c r="A32" s="13" t="s">
        <x:v>618</x:v>
      </x:c>
      <x:c r="B32" s="6" t="s">
        <x:v>619</x:v>
      </x:c>
      <x:c r="C32" s="7">
        <x:v>81.188599999999994</x:v>
      </x:c>
      <x:c r="D32" s="7">
        <x:v>29.539200000000001</x:v>
      </x:c>
      <x:c r="E32" s="6" t="s">
        <x:v>593</x:v>
      </x:c>
      <x:c r="F32" s="6" t="s">
        <x:v>567</x:v>
      </x:c>
    </x:row>
    <x:row r="33" ht="20" customHeight="1">
      <x:c r="A33" s="14" t="s">
        <x:v>620</x:v>
      </x:c>
      <x:c r="B33" s="8" t="s">
        <x:v>621</x:v>
      </x:c>
      <x:c r="C33" s="9">
        <x:v>81.668899999999994</x:v>
      </x:c>
      <x:c r="D33" s="9">
        <x:v>29.501999999999999</x:v>
      </x:c>
      <x:c r="E33" s="8" t="s">
        <x:v>593</x:v>
      </x:c>
      <x:c r="F33" s="8" t="s">
        <x:v>567</x:v>
      </x:c>
    </x:row>
    <x:row r="34" ht="20" customHeight="1">
      <x:c r="A34" s="13" t="s">
        <x:v>622</x:v>
      </x:c>
      <x:c r="B34" s="6" t="s">
        <x:v>623</x:v>
      </x:c>
      <x:c r="C34" s="7">
        <x:v>81.216899999999995</x:v>
      </x:c>
      <x:c r="D34" s="7">
        <x:v>29.2394</x:v>
      </x:c>
      <x:c r="E34" s="6" t="s">
        <x:v>593</x:v>
      </x:c>
      <x:c r="F34" s="6" t="s">
        <x:v>567</x:v>
      </x:c>
    </x:row>
    <x:row r="35" ht="20" customHeight="1">
      <x:c r="A35" s="14" t="s">
        <x:v>624</x:v>
      </x:c>
      <x:c r="B35" s="8" t="s">
        <x:v>625</x:v>
      </x:c>
      <x:c r="C35" s="9">
        <x:v>80.543899999999994</x:v>
      </x:c>
      <x:c r="D35" s="9">
        <x:v>29.2042</x:v>
      </x:c>
      <x:c r="E35" s="8" t="s">
        <x:v>593</x:v>
      </x:c>
      <x:c r="F35" s="8" t="s">
        <x:v>567</x:v>
      </x:c>
    </x:row>
    <x:row r="36" ht="20" customHeight="1">
      <x:c r="A36" s="13" t="s">
        <x:v>626</x:v>
      </x:c>
      <x:c r="B36" s="6" t="s">
        <x:v>627</x:v>
      </x:c>
      <x:c r="C36" s="7">
        <x:v>81.818899999999999</x:v>
      </x:c>
      <x:c r="D36" s="7">
        <x:v>29.9711</x:v>
      </x:c>
      <x:c r="E36" s="6" t="s">
        <x:v>593</x:v>
      </x:c>
      <x:c r="F36" s="6" t="s">
        <x:v>567</x:v>
      </x:c>
    </x:row>
    <x:row r="37" ht="20" customHeight="1">
      <x:c r="A37" s="14" t="s">
        <x:v>628</x:v>
      </x:c>
      <x:c r="B37" s="8" t="s">
        <x:v>629</x:v>
      </x:c>
      <x:c r="C37" s="9">
        <x:v>82.012200000000007</x:v>
      </x:c>
      <x:c r="D37" s="9">
        <x:v>29.720800000000001</x:v>
      </x:c>
      <x:c r="E37" s="8" t="s">
        <x:v>593</x:v>
      </x:c>
      <x:c r="F37" s="8" t="s">
        <x:v>567</x:v>
      </x:c>
    </x:row>
    <x:row r="38" ht="20" customHeight="1">
      <x:c r="A38" s="13" t="s">
        <x:v>630</x:v>
      </x:c>
      <x:c r="B38" s="6" t="s">
        <x:v>631</x:v>
      </x:c>
      <x:c r="C38" s="7">
        <x:v>81.705799999999996</x:v>
      </x:c>
      <x:c r="D38" s="7">
        <x:v>29.075600000000001</x:v>
      </x:c>
      <x:c r="E38" s="6" t="s">
        <x:v>593</x:v>
      </x:c>
      <x:c r="F38" s="6" t="s">
        <x:v>567</x:v>
      </x:c>
    </x:row>
    <x:row r="39" ht="20" customHeight="1">
      <x:c r="A39" s="14" t="s">
        <x:v>632</x:v>
      </x:c>
      <x:c r="B39" s="8" t="s">
        <x:v>633</x:v>
      </x:c>
      <x:c r="C39" s="9">
        <x:v>82.298299999999998</x:v>
      </x:c>
      <x:c r="D39" s="9">
        <x:v>28.553599999999999</x:v>
      </x:c>
      <x:c r="E39" s="8" t="s">
        <x:v>593</x:v>
      </x:c>
      <x:c r="F39" s="8" t="s">
        <x:v>567</x:v>
      </x:c>
    </x:row>
    <x:row r="40" ht="20" customHeight="1">
      <x:c r="A40" s="13" t="s">
        <x:v>634</x:v>
      </x:c>
      <x:c r="B40" s="6" t="s">
        <x:v>635</x:v>
      </x:c>
      <x:c r="C40" s="7">
        <x:v>84.643299999999996</x:v>
      </x:c>
      <x:c r="D40" s="7">
        <x:v>28.078099999999999</x:v>
      </x:c>
      <x:c r="E40" s="6" t="s">
        <x:v>593</x:v>
      </x:c>
      <x:c r="F40" s="6" t="s">
        <x:v>571</x:v>
      </x:c>
    </x:row>
    <x:row r="41" ht="20" customHeight="1">
      <x:c r="A41" s="14" t="s">
        <x:v>636</x:v>
      </x:c>
      <x:c r="B41" s="8" t="s">
        <x:v>637</x:v>
      </x:c>
      <x:c r="C41" s="9">
        <x:v>83.552199999999999</x:v>
      </x:c>
      <x:c r="D41" s="9">
        <x:v>27.863600000000002</x:v>
      </x:c>
      <x:c r="E41" s="8" t="s">
        <x:v>593</x:v>
      </x:c>
      <x:c r="F41" s="8" t="s">
        <x:v>571</x:v>
      </x:c>
    </x:row>
    <x:row r="42" ht="20" customHeight="1">
      <x:c r="A42" s="13" t="s">
        <x:v>638</x:v>
      </x:c>
      <x:c r="B42" s="6" t="s">
        <x:v>639</x:v>
      </x:c>
      <x:c r="C42" s="7">
        <x:v>87.6447</x:v>
      </x:c>
      <x:c r="D42" s="7">
        <x:v>27.230799999999999</x:v>
      </x:c>
      <x:c r="E42" s="6" t="s">
        <x:v>593</x:v>
      </x:c>
      <x:c r="F42" s="6" t="s">
        <x:v>567</x:v>
      </x:c>
    </x:row>
    <x:row r="43" ht="20" customHeight="1">
      <x:c r="A43" s="14" t="s">
        <x:v>640</x:v>
      </x:c>
      <x:c r="B43" s="8" t="s">
        <x:v>641</x:v>
      </x:c>
      <x:c r="C43" s="9">
        <x:v>87.766900000000007</x:v>
      </x:c>
      <x:c r="D43" s="9">
        <x:v>27.151399999999999</x:v>
      </x:c>
      <x:c r="E43" s="8" t="s">
        <x:v>593</x:v>
      </x:c>
      <x:c r="F43" s="8" t="s">
        <x:v>567</x:v>
      </x:c>
    </x:row>
    <x:row r="44" ht="20" customHeight="1">
      <x:c r="A44" s="13" t="s">
        <x:v>642</x:v>
      </x:c>
      <x:c r="B44" s="6" t="s">
        <x:v>643</x:v>
      </x:c>
      <x:c r="C44" s="7">
        <x:v>83.662499999999994</x:v>
      </x:c>
      <x:c r="D44" s="7">
        <x:v>28.212199999999999</x:v>
      </x:c>
      <x:c r="E44" s="6" t="s">
        <x:v>593</x:v>
      </x:c>
      <x:c r="F44" s="6" t="s">
        <x:v>571</x:v>
      </x:c>
    </x:row>
    <x:row r="45" ht="20" customHeight="1">
      <x:c r="A45" s="14" t="s">
        <x:v>644</x:v>
      </x:c>
      <x:c r="B45" s="8" t="s">
        <x:v>645</x:v>
      </x:c>
      <x:c r="C45" s="9">
        <x:v>86.713099999999997</x:v>
      </x:c>
      <x:c r="D45" s="9">
        <x:v>27.811900000000001</x:v>
      </x:c>
      <x:c r="E45" s="8" t="s">
        <x:v>593</x:v>
      </x:c>
      <x:c r="F45" s="8" t="s">
        <x:v>567</x:v>
      </x:c>
    </x:row>
    <x:row r="46" ht="20" customHeight="1">
      <x:c r="A46" s="13" t="s">
        <x:v>646</x:v>
      </x:c>
      <x:c r="B46" s="6" t="s">
        <x:v>647</x:v>
      </x:c>
      <x:c r="C46" s="7">
        <x:v>82.480999999999995</x:v>
      </x:c>
      <x:c r="D46" s="7">
        <x:v>28.608000000000001</x:v>
      </x:c>
      <x:c r="E46" s="6" t="s">
        <x:v>593</x:v>
      </x:c>
      <x:c r="F46" s="6" t="s">
        <x:v>567</x:v>
      </x:c>
    </x:row>
  </x:sheetData>
  <x:mergeCells>
    <x:mergeCell ref="A1:I1"/>
    <x:mergeCell ref="A4:I4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6640625" defaultRowHeight="14"/>
  <x:cols>
    <x:col min="1" max="2" width="12" style="5" customWidth="1"/>
    <x:col min="3" max="3" width="24" style="5" customWidth="1"/>
    <x:col min="4" max="4" width="42" style="5" customWidth="1"/>
    <x:col min="5" max="7" width="8.6640625" style="5" customWidth="1"/>
    <x:col min="8" max="16384" width="8.6640625" style="5" customWidth="0"/>
  </x:cols>
  <x:sheetData>
    <x:row r="1" ht="37" customHeight="1">
      <x:c r="A1" s="38" t="s">
        <x:v>648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41" t="s">
        <x:v>649</x:v>
      </x:c>
      <x:c r="B2" s="34"/>
      <x:c r="C2" s="34"/>
      <x:c r="D2" s="34"/>
      <x:c r="E2" s="34"/>
      <x:c r="F2" s="34"/>
      <x:c r="G2" s="34"/>
      <x:c r="H2" s="34"/>
      <x:c r="I2" s="34"/>
    </x:row>
    <x:row r="4" ht="20" customHeight="1">
      <x:c r="A4" s="39"/>
      <x:c r="B4" s="40"/>
      <x:c r="C4" s="40"/>
      <x:c r="D4" s="40"/>
      <x:c r="E4" s="40"/>
      <x:c r="F4" s="40"/>
      <x:c r="G4" s="40"/>
      <x:c r="H4" s="40"/>
      <x:c r="I4" s="40"/>
    </x:row>
    <x:row r="5" ht="20" customHeight="1">
      <x:c r="A5" s="21" t="s">
        <x:v>551</x:v>
      </x:c>
      <x:c r="B5" s="21" t="s">
        <x:v>552</x:v>
      </x:c>
      <x:c r="C5" s="21" t="s">
        <x:v>650</x:v>
      </x:c>
      <x:c r="D5" s="21" t="s">
        <x:v>651</x:v>
      </x:c>
      <x:c r="E5" s="11"/>
      <x:c r="F5" s="11"/>
      <x:c r="G5" s="11"/>
      <x:c r="H5" s="11"/>
      <x:c r="I5" s="11"/>
    </x:row>
    <x:row r="6" ht="20" customHeight="1">
      <x:c r="A6" s="7">
        <x:v>85.42</x:v>
      </x:c>
      <x:c r="B6" s="7">
        <x:v>27.67</x:v>
      </x:c>
      <x:c r="C6" s="6" t="s">
        <x:v>652</x:v>
      </x:c>
      <x:c r="D6" s="6" t="s">
        <x:v>653</x:v>
      </x:c>
    </x:row>
    <x:row r="7" ht="20" customHeight="1">
      <x:c r="A7" s="9">
        <x:v>86.653000000000006</x:v>
      </x:c>
      <x:c r="B7" s="9">
        <x:v>27.831</x:v>
      </x:c>
      <x:c r="C7" s="8" t="s">
        <x:v>654</x:v>
      </x:c>
      <x:c r="D7" s="8" t="s">
        <x:v>655</x:v>
      </x:c>
    </x:row>
    <x:row r="8" ht="20" customHeight="1">
      <x:c r="A8" s="7">
        <x:v>86.713999999999999</x:v>
      </x:c>
      <x:c r="B8" s="7">
        <x:v>27.806999999999999</x:v>
      </x:c>
      <x:c r="C8" s="6" t="s">
        <x:v>656</x:v>
      </x:c>
      <x:c r="D8" s="6" t="s">
        <x:v>657</x:v>
      </x:c>
    </x:row>
    <x:row r="9" ht="20" customHeight="1">
      <x:c r="A9" s="9">
        <x:v>86.817999999999998</x:v>
      </x:c>
      <x:c r="B9" s="9">
        <x:v>27.891999999999999</x:v>
      </x:c>
      <x:c r="C9" s="8" t="s">
        <x:v>658</x:v>
      </x:c>
      <x:c r="D9" s="8" t="s">
        <x:v>659</x:v>
      </x:c>
    </x:row>
    <x:row r="10" ht="20" customHeight="1">
      <x:c r="A10" s="7">
        <x:v>85.292000000000002</x:v>
      </x:c>
      <x:c r="B10" s="7">
        <x:v>28.097999999999999</x:v>
      </x:c>
      <x:c r="C10" s="6" t="s">
        <x:v>660</x:v>
      </x:c>
      <x:c r="D10" s="6" t="s">
        <x:v>661</x:v>
      </x:c>
    </x:row>
    <x:row r="11" ht="20" customHeight="1">
      <x:c r="A11" s="9">
        <x:v>85.558999999999997</x:v>
      </x:c>
      <x:c r="B11" s="9">
        <x:v>28.212</x:v>
      </x:c>
      <x:c r="C11" s="8" t="s">
        <x:v>662</x:v>
      </x:c>
      <x:c r="D11" s="8" t="s">
        <x:v>663</x:v>
      </x:c>
    </x:row>
    <x:row r="12" ht="20" customHeight="1">
      <x:c r="A12" s="7">
        <x:v>85.421999999999997</x:v>
      </x:c>
      <x:c r="B12" s="7">
        <x:v>28.074999999999999</x:v>
      </x:c>
      <x:c r="C12" s="6" t="s">
        <x:v>664</x:v>
      </x:c>
      <x:c r="D12" s="6" t="s">
        <x:v>665</x:v>
      </x:c>
    </x:row>
    <x:row r="13" ht="20" customHeight="1">
      <x:c r="A13" s="9">
        <x:v>85.515000000000001</x:v>
      </x:c>
      <x:c r="B13" s="9">
        <x:v>28.175000000000001</x:v>
      </x:c>
      <x:c r="C13" s="8" t="s">
        <x:v>666</x:v>
      </x:c>
      <x:c r="D13" s="8" t="s">
        <x:v>667</x:v>
      </x:c>
    </x:row>
    <x:row r="14" ht="20" customHeight="1">
      <x:c r="A14" s="7">
        <x:v>83.869</x:v>
      </x:c>
      <x:c r="B14" s="7">
        <x:v>28.818000000000001</x:v>
      </x:c>
      <x:c r="C14" s="6" t="s">
        <x:v>668</x:v>
      </x:c>
      <x:c r="D14" s="6" t="s">
        <x:v>669</x:v>
      </x:c>
    </x:row>
    <x:row r="15" ht="20" customHeight="1">
      <x:c r="A15" s="9">
        <x:v>83.957999999999998</x:v>
      </x:c>
      <x:c r="B15" s="9">
        <x:v>28.754999999999999</x:v>
      </x:c>
      <x:c r="C15" s="8" t="s">
        <x:v>670</x:v>
      </x:c>
      <x:c r="D15" s="8" t="s">
        <x:v>671</x:v>
      </x:c>
    </x:row>
    <x:row r="16" ht="20" customHeight="1">
      <x:c r="A16" s="7">
        <x:v>83.728999999999999</x:v>
      </x:c>
      <x:c r="B16" s="7">
        <x:v>28.535</x:v>
      </x:c>
      <x:c r="C16" s="6" t="s">
        <x:v>672</x:v>
      </x:c>
      <x:c r="D16" s="6" t="s">
        <x:v>673</x:v>
      </x:c>
    </x:row>
    <x:row r="17" ht="20" customHeight="1">
      <x:c r="A17" s="9">
        <x:v>84.48</x:v>
      </x:c>
      <x:c r="B17" s="9">
        <x:v>28.395</x:v>
      </x:c>
      <x:c r="C17" s="8" t="s">
        <x:v>674</x:v>
      </x:c>
      <x:c r="D17" s="8" t="s">
        <x:v>675</x:v>
      </x:c>
    </x:row>
    <x:row r="18" ht="20" customHeight="1">
      <x:c r="A18" s="7">
        <x:v>82.951999999999998</x:v>
      </x:c>
      <x:c r="B18" s="7">
        <x:v>29.234000000000002</x:v>
      </x:c>
      <x:c r="C18" s="6" t="s">
        <x:v>676</x:v>
      </x:c>
      <x:c r="D18" s="6" t="s">
        <x:v>677</x:v>
      </x:c>
    </x:row>
    <x:row r="19" ht="20" customHeight="1">
      <x:c r="A19" s="9">
        <x:v>81.83</x:v>
      </x:c>
      <x:c r="B19" s="9">
        <x:v>28.4</x:v>
      </x:c>
      <x:c r="C19" s="8" t="s">
        <x:v>678</x:v>
      </x:c>
      <x:c r="D19" s="8" t="s">
        <x:v>679</x:v>
      </x:c>
    </x:row>
  </x:sheetData>
  <x:mergeCells>
    <x:mergeCell ref="A1:I1"/>
    <x:mergeCell ref="A4:I4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18" style="5" customWidth="1"/>
    <x:col min="2" max="2" width="14" style="5" customWidth="1"/>
    <x:col min="3" max="3" width="18" style="5" customWidth="1"/>
    <x:col min="4" max="4" width="20" style="5" customWidth="1"/>
    <x:col min="5" max="5" width="14" style="5" customWidth="1"/>
    <x:col min="6" max="6" width="14" customWidth="1"/>
    <x:col min="7" max="8" width="12" style="5" customWidth="1"/>
    <x:col min="9" max="9" width="42" customWidth="1"/>
    <x:col min="10" max="10" width="54" style="5" customWidth="1"/>
    <x:col min="11" max="11" width="8.6640625" style="5" customWidth="1"/>
    <x:col min="12" max="16384" width="8.6640625" style="5" customWidth="0"/>
  </x:cols>
  <x:sheetData>
    <x:row r="1" ht="27" customHeight="1">
      <x:c r="A1" s="43" t="s">
        <x:v>680</x:v>
      </x:c>
      <x:c r="B1" s="34"/>
      <x:c r="C1" s="34"/>
      <x:c r="D1" s="34"/>
      <x:c r="E1" s="34"/>
      <x:c r="F1" s="36"/>
      <x:c r="G1" s="34"/>
      <x:c r="H1" s="34"/>
      <x:c r="I1" s="36"/>
    </x:row>
    <x:row r="2" ht="34" customHeight="1">
      <x:c r="A2" s="44" t="s">
        <x:v>681</x:v>
      </x:c>
      <x:c r="B2" s="34"/>
      <x:c r="C2" s="34"/>
      <x:c r="D2" s="34"/>
      <x:c r="E2" s="34"/>
      <x:c r="F2" s="36"/>
      <x:c r="G2" s="34"/>
      <x:c r="H2" s="34"/>
      <x:c r="I2" s="36"/>
    </x:row>
    <x:row r="4" ht="15" customHeight="1">
      <x:c r="A4" s="23" t="s">
        <x:v>682</x:v>
      </x:c>
      <x:c r="B4" t="s">
        <x:v>19</x:v>
      </x:c>
      <x:c r="C4" t="s">
        <x:v>683</x:v>
      </x:c>
      <x:c r="D4" t="s">
        <x:v>684</x:v>
      </x:c>
      <x:c r="E4" t="s">
        <x:v>685</x:v>
      </x:c>
      <x:c r="F4" t="s">
        <x:v>686</x:v>
      </x:c>
      <x:c r="G4" t="s">
        <x:v>687</x:v>
      </x:c>
      <x:c r="H4" t="s">
        <x:v>688</x:v>
      </x:c>
      <x:c r="I4" t="s">
        <x:v>689</x:v>
      </x:c>
      <x:c r="J4" s="30" t="s">
        <x:v>690</x:v>
      </x:c>
    </x:row>
    <x:row r="5" ht="22" customHeight="1">
      <x:c r="A5" s="25" t="s">
        <x:v>691</x:v>
      </x:c>
      <x:c r="B5" s="31">
        <x:v>228852</x:v>
      </x:c>
      <x:c r="C5" s="25" t="s">
        <x:v>692</x:v>
      </x:c>
      <x:c r="D5" s="31">
        <x:v>138829</x:v>
      </x:c>
      <x:c r="E5" s="32">
        <x:v>81.293488699999997</x:v>
      </x:c>
      <x:c r="F5" s="32">
        <x:v>29.066480299999998</x:v>
      </x:c>
      <x:c r="G5" s="25" t="s">
        <x:v>693</x:v>
      </x:c>
      <x:c r="H5" s="25">
        <x:v>4586285</x:v>
      </x:c>
      <x:c r="I5" s="22" t="s">
        <x:v>694</x:v>
      </x:c>
      <x:c r="J5" s="25" t="s">
        <x:v>695</x:v>
      </x:c>
    </x:row>
    <x:row r="6" ht="15" customHeight="1">
      <x:c r="A6" s="25" t="s">
        <x:v>696</x:v>
      </x:c>
      <x:c r="B6" s="31">
        <x:v>177086</x:v>
      </x:c>
      <x:c r="C6" s="25" t="s">
        <x:v>697</x:v>
      </x:c>
      <x:c r="D6" s="31">
        <x:v>147017</x:v>
      </x:c>
      <x:c r="E6" s="32">
        <x:v>83.145959399999995</x:v>
      </x:c>
      <x:c r="F6" s="32">
        <x:v>27.931873299999999</x:v>
      </x:c>
      <x:c r="G6" s="25" t="s">
        <x:v>693</x:v>
      </x:c>
      <x:c r="H6" s="25">
        <x:v>4589557</x:v>
      </x:c>
      <x:c r="I6" s="22" t="s">
        <x:v>698</x:v>
      </x:c>
      <x:c r="J6" s="25" t="s">
        <x:v>699</x:v>
      </x:c>
    </x:row>
    <x:row r="7" ht="15" customHeight="1">
      <x:c r="A7" s="25" t="s">
        <x:v>643</x:v>
      </x:c>
      <x:c r="B7" s="31">
        <x:v>249211</x:v>
      </x:c>
      <x:c r="C7" s="25" t="s">
        <x:v>700</x:v>
      </x:c>
      <x:c r="D7" s="31">
        <x:v>194800</x:v>
      </x:c>
      <x:c r="E7" s="32">
        <x:v>83.142624100000006</x:v>
      </x:c>
      <x:c r="F7" s="32">
        <x:v>28.3562467</x:v>
      </x:c>
      <x:c r="G7" s="25" t="s">
        <x:v>693</x:v>
      </x:c>
      <x:c r="H7" s="25">
        <x:v>4588144</x:v>
      </x:c>
      <x:c r="I7" s="22" t="s">
        <x:v>701</x:v>
      </x:c>
      <x:c r="J7" s="25" t="s">
        <x:v>702</x:v>
      </x:c>
    </x:row>
    <x:row r="8" ht="15" customHeight="1">
      <x:c r="A8" s="25" t="s">
        <x:v>703</x:v>
      </x:c>
      <x:c r="B8" s="31">
        <x:v>242157</x:v>
      </x:c>
      <x:c r="C8" s="25" t="s">
        <x:v>692</x:v>
      </x:c>
      <x:c r="D8" s="31">
        <x:v>138829</x:v>
      </x:c>
      <x:c r="E8" s="32">
        <x:v>80.558566600000006</x:v>
      </x:c>
      <x:c r="F8" s="32">
        <x:v>29.508694500000001</x:v>
      </x:c>
      <x:c r="G8" s="25" t="s">
        <x:v>693</x:v>
      </x:c>
      <x:c r="H8" s="25">
        <x:v>4586293</x:v>
      </x:c>
      <x:c r="I8" s="22" t="s">
        <x:v>704</x:v>
      </x:c>
      <x:c r="J8" s="25" t="s">
        <x:v>705</x:v>
      </x:c>
    </x:row>
    <x:row r="9" ht="15" customHeight="1">
      <x:c r="A9" s="25" t="s">
        <x:v>619</x:v>
      </x:c>
      <x:c r="B9" s="31">
        <x:v>189085</x:v>
      </x:c>
      <x:c r="C9" s="25" t="s">
        <x:v>692</x:v>
      </x:c>
      <x:c r="D9" s="31">
        <x:v>138829</x:v>
      </x:c>
      <x:c r="E9" s="32">
        <x:v>81.246347999999998</x:v>
      </x:c>
      <x:c r="F9" s="32">
        <x:v>29.722446300000001</x:v>
      </x:c>
      <x:c r="G9" s="25" t="s">
        <x:v>693</x:v>
      </x:c>
      <x:c r="H9" s="25">
        <x:v>4586291</x:v>
      </x:c>
      <x:c r="I9" s="22" t="s">
        <x:v>706</x:v>
      </x:c>
      <x:c r="J9" s="25" t="s">
        <x:v>707</x:v>
      </x:c>
    </x:row>
    <x:row r="10" ht="15" customHeight="1">
      <x:c r="A10" s="25" t="s">
        <x:v>621</x:v>
      </x:c>
      <x:c r="B10" s="31">
        <x:v>138523</x:v>
      </x:c>
      <x:c r="C10" s="25" t="s">
        <x:v>692</x:v>
      </x:c>
      <x:c r="D10" s="31">
        <x:v>138829</x:v>
      </x:c>
      <x:c r="E10" s="32">
        <x:v>81.577030399999998</x:v>
      </x:c>
      <x:c r="F10" s="32">
        <x:v>29.608936199999999</x:v>
      </x:c>
      <x:c r="G10" s="25" t="s">
        <x:v>693</x:v>
      </x:c>
      <x:c r="H10" s="25">
        <x:v>4586292</x:v>
      </x:c>
      <x:c r="I10" s="22" t="s">
        <x:v>708</x:v>
      </x:c>
      <x:c r="J10" s="25" t="s">
        <x:v>709</x:v>
      </x:c>
    </x:row>
    <x:row r="11" ht="15" customHeight="1">
      <x:c r="A11" s="25" t="s">
        <x:v>710</x:v>
      </x:c>
      <x:c r="B11" s="31">
        <x:v>603194</x:v>
      </x:c>
      <x:c r="C11" s="25" t="s">
        <x:v>697</x:v>
      </x:c>
      <x:c r="D11" s="31">
        <x:v>147017</x:v>
      </x:c>
      <x:c r="E11" s="32">
        <x:v>81.771440799999993</x:v>
      </x:c>
      <x:c r="F11" s="32">
        <x:v>28.096095099999999</x:v>
      </x:c>
      <x:c r="G11" s="25" t="s">
        <x:v>693</x:v>
      </x:c>
      <x:c r="H11" s="25">
        <x:v>4586364</x:v>
      </x:c>
      <x:c r="I11" s="22" t="s">
        <x:v>711</x:v>
      </x:c>
      <x:c r="J11" s="25" t="s">
        <x:v>712</x:v>
      </x:c>
    </x:row>
    <x:row r="12" ht="15" customHeight="1">
      <x:c r="A12" s="25" t="s">
        <x:v>713</x:v>
      </x:c>
      <x:c r="B12" s="31">
        <x:v>763137</x:v>
      </x:c>
      <x:c r="C12" s="25" t="s">
        <x:v>714</x:v>
      </x:c>
      <x:c r="D12" s="31">
        <x:v>114258</x:v>
      </x:c>
      <x:c r="E12" s="32">
        <x:v>85.069339099999993</x:v>
      </x:c>
      <x:c r="F12" s="32">
        <x:v>27.107327999999999</x:v>
      </x:c>
      <x:c r="G12" s="25" t="s">
        <x:v>693</x:v>
      </x:c>
      <x:c r="H12" s="25">
        <x:v>4589414</x:v>
      </x:c>
      <x:c r="I12" s="22" t="s">
        <x:v>715</x:v>
      </x:c>
      <x:c r="J12" s="25" t="s">
        <x:v>716</x:v>
      </x:c>
    </x:row>
    <x:row r="13" ht="15" customHeight="1">
      <x:c r="A13" s="25" t="s">
        <x:v>717</x:v>
      </x:c>
      <x:c r="B13" s="31">
        <x:v>459900</x:v>
      </x:c>
      <x:c r="C13" s="25" t="s">
        <x:v>697</x:v>
      </x:c>
      <x:c r="D13" s="31">
        <x:v>147017</x:v>
      </x:c>
      <x:c r="E13" s="32">
        <x:v>81.451543099999995</x:v>
      </x:c>
      <x:c r="F13" s="32">
        <x:v>28.371463500000001</x:v>
      </x:c>
      <x:c r="G13" s="25" t="s">
        <x:v>693</x:v>
      </x:c>
      <x:c r="H13" s="25">
        <x:v>4586363</x:v>
      </x:c>
      <x:c r="I13" s="22" t="s">
        <x:v>718</x:v>
      </x:c>
      <x:c r="J13" s="25" t="s">
        <x:v>719</x:v>
      </x:c>
    </x:row>
    <x:row r="14" ht="15" customHeight="1">
      <x:c r="A14" s="25" t="s">
        <x:v>720</x:v>
      </x:c>
      <x:c r="B14" s="31">
        <x:v>432132</x:v>
      </x:c>
      <x:c r="C14" s="25" t="s">
        <x:v>721</x:v>
      </x:c>
      <x:c r="D14" s="31">
        <x:v>320558</x:v>
      </x:c>
      <x:c r="E14" s="32">
        <x:v>85.4263969</x:v>
      </x:c>
      <x:c r="F14" s="32">
        <x:v>27.674252899999999</x:v>
      </x:c>
      <x:c r="G14" s="25" t="s">
        <x:v>693</x:v>
      </x:c>
      <x:c r="H14" s="25">
        <x:v>4583251</x:v>
      </x:c>
      <x:c r="I14" s="22" t="s">
        <x:v>722</x:v>
      </x:c>
      <x:c r="J14" s="25" t="s">
        <x:v>723</x:v>
      </x:c>
    </x:row>
    <x:row r="15" ht="15" customHeight="1">
      <x:c r="A15" s="25" t="s">
        <x:v>605</x:v>
      </x:c>
      <x:c r="B15" s="31">
        <x:v>157923</x:v>
      </x:c>
      <x:c r="C15" s="25" t="s">
        <x:v>724</x:v>
      </x:c>
      <x:c r="D15" s="31">
        <x:v>169664</x:v>
      </x:c>
      <x:c r="E15" s="32">
        <x:v>87.093477500000006</x:v>
      </x:c>
      <x:c r="F15" s="32">
        <x:v>27.174303800000001</x:v>
      </x:c>
      <x:c r="G15" s="25" t="s">
        <x:v>693</x:v>
      </x:c>
      <x:c r="H15" s="25">
        <x:v>4589467</x:v>
      </x:c>
      <x:c r="I15" s="22" t="s">
        <x:v>725</x:v>
      </x:c>
      <x:c r="J15" s="25" t="s">
        <x:v>726</x:v>
      </x:c>
    </x:row>
    <x:row r="16" ht="15" customHeight="1">
      <x:c r="A16" s="25" t="s">
        <x:v>727</x:v>
      </x:c>
      <x:c r="B16" s="31">
        <x:v>719859</x:v>
      </x:c>
      <x:c r="C16" s="25" t="s">
        <x:v>721</x:v>
      </x:c>
      <x:c r="D16" s="31">
        <x:v>320558</x:v>
      </x:c>
      <x:c r="E16" s="32">
        <x:v>84.453620099999995</x:v>
      </x:c>
      <x:c r="F16" s="32">
        <x:v>27.618086000000002</x:v>
      </x:c>
      <x:c r="G16" s="25" t="s">
        <x:v>693</x:v>
      </x:c>
      <x:c r="H16" s="25">
        <x:v>4589410</x:v>
      </x:c>
      <x:c r="I16" s="22" t="s">
        <x:v>728</x:v>
      </x:c>
      <x:c r="J16" s="25" t="s">
        <x:v>729</x:v>
      </x:c>
    </x:row>
    <x:row r="17" ht="15" customHeight="1">
      <x:c r="A17" s="25" t="s">
        <x:v>625</x:v>
      </x:c>
      <x:c r="B17" s="31">
        <x:v>139602</x:v>
      </x:c>
      <x:c r="C17" s="25" t="s">
        <x:v>692</x:v>
      </x:c>
      <x:c r="D17" s="31">
        <x:v>138829</x:v>
      </x:c>
      <x:c r="E17" s="32">
        <x:v>80.500865700000006</x:v>
      </x:c>
      <x:c r="F17" s="32">
        <x:v>29.209193299999999</x:v>
      </x:c>
      <x:c r="G17" s="25" t="s">
        <x:v>693</x:v>
      </x:c>
      <x:c r="H17" s="25">
        <x:v>4586288</x:v>
      </x:c>
      <x:c r="I17" s="22" t="s">
        <x:v>730</x:v>
      </x:c>
      <x:c r="J17" s="25" t="s">
        <x:v>731</x:v>
      </x:c>
    </x:row>
    <x:row r="18" ht="15" customHeight="1">
      <x:c r="A18" s="25" t="s">
        <x:v>732</x:v>
      </x:c>
      <x:c r="B18" s="31">
        <x:v>252313</x:v>
      </x:c>
      <x:c r="C18" s="25" t="s">
        <x:v>733</x:v>
      </x:c>
      <x:c r="D18" s="31">
        <x:v>130197</x:v>
      </x:c>
      <x:c r="E18" s="32">
        <x:v>81.699716499999994</x:v>
      </x:c>
      <x:c r="F18" s="32">
        <x:v>28.8850646</x:v>
      </x:c>
      <x:c r="G18" s="25" t="s">
        <x:v>693</x:v>
      </x:c>
      <x:c r="H18" s="25">
        <x:v>12228031</x:v>
      </x:c>
      <x:c r="I18" s="22" t="s">
        <x:v>734</x:v>
      </x:c>
      <x:c r="J18" s="25" t="s">
        <x:v>735</x:v>
      </x:c>
    </x:row>
    <x:row r="19" ht="15" customHeight="1">
      <x:c r="A19" s="25" t="s">
        <x:v>736</x:v>
      </x:c>
      <x:c r="B19" s="31">
        <x:v>133310</x:v>
      </x:c>
      <x:c r="C19" s="25" t="s">
        <x:v>692</x:v>
      </x:c>
      <x:c r="D19" s="31">
        <x:v>138829</x:v>
      </x:c>
      <x:c r="E19" s="32">
        <x:v>80.793715899999995</x:v>
      </x:c>
      <x:c r="F19" s="32">
        <x:v>29.912733299999999</x:v>
      </x:c>
      <x:c r="G19" s="25" t="s">
        <x:v>693</x:v>
      </x:c>
      <x:c r="H19" s="25">
        <x:v>4586290</x:v>
      </x:c>
      <x:c r="I19" s="22" t="s">
        <x:v>737</x:v>
      </x:c>
      <x:c r="J19" s="25" t="s">
        <x:v>738</x:v>
      </x:c>
    </x:row>
    <x:row r="20" ht="15" customHeight="1">
      <x:c r="A20" s="25" t="s">
        <x:v>739</x:v>
      </x:c>
      <x:c r="B20" s="31">
        <x:v>325710</x:v>
      </x:c>
      <x:c r="C20" s="25" t="s">
        <x:v>721</x:v>
      </x:c>
      <x:c r="D20" s="31">
        <x:v>320558</x:v>
      </x:c>
      <x:c r="E20" s="32">
        <x:v>84.906138999999996</x:v>
      </x:c>
      <x:c r="F20" s="32">
        <x:v>28.008521200000001</x:v>
      </x:c>
      <x:c r="G20" s="25" t="s">
        <x:v>693</x:v>
      </x:c>
      <x:c r="H20" s="25">
        <x:v>4583249</x:v>
      </x:c>
      <x:c r="I20" s="22" t="s">
        <x:v>740</x:v>
      </x:c>
      <x:c r="J20" s="25" t="s">
        <x:v>741</x:v>
      </x:c>
    </x:row>
    <x:row r="21" ht="15" customHeight="1">
      <x:c r="A21" s="25" t="s">
        <x:v>742</x:v>
      </x:c>
      <x:c r="B21" s="31">
        <x:v>150599</x:v>
      </x:c>
      <x:c r="C21" s="25" t="s">
        <x:v>724</x:v>
      </x:c>
      <x:c r="D21" s="31">
        <x:v>169664</x:v>
      </x:c>
      <x:c r="E21" s="32">
        <x:v>87.313263000000006</x:v>
      </x:c>
      <x:c r="F21" s="32">
        <x:v>27.0175217</x:v>
      </x:c>
      <x:c r="G21" s="25" t="s">
        <x:v>693</x:v>
      </x:c>
      <x:c r="H21" s="25">
        <x:v>4589466</x:v>
      </x:c>
      <x:c r="I21" s="22" t="s">
        <x:v>743</x:v>
      </x:c>
      <x:c r="J21" s="25" t="s">
        <x:v>744</x:v>
      </x:c>
    </x:row>
    <x:row r="22" ht="15" customHeight="1">
      <x:c r="A22" s="25" t="s">
        <x:v>745</x:v>
      </x:c>
      <x:c r="B22" s="31">
        <x:v>172767</x:v>
      </x:c>
      <x:c r="C22" s="25" t="s">
        <x:v>721</x:v>
      </x:c>
      <x:c r="D22" s="31">
        <x:v>320558</x:v>
      </x:c>
      <x:c r="E22" s="32">
        <x:v>86.221466500000005</x:v>
      </x:c>
      <x:c r="F22" s="32">
        <x:v>27.82377</x:v>
      </x:c>
      <x:c r="G22" s="25" t="s">
        <x:v>693</x:v>
      </x:c>
      <x:c r="H22" s="25">
        <x:v>4589411</x:v>
      </x:c>
      <x:c r="I22" s="22" t="s">
        <x:v>746</x:v>
      </x:c>
      <x:c r="J22" s="25" t="s">
        <x:v>747</x:v>
      </x:c>
    </x:row>
    <x:row r="23" ht="15" customHeight="1">
      <x:c r="A23" s="25" t="s">
        <x:v>748</x:v>
      </x:c>
      <x:c r="B23" s="31">
        <x:v>42774</x:v>
      </x:c>
      <x:c r="C23" s="25" t="s">
        <x:v>733</x:v>
      </x:c>
      <x:c r="D23" s="31">
        <x:v>130197</x:v>
      </x:c>
      <x:c r="E23" s="32">
        <x:v>83.035803999999999</x:v>
      </x:c>
      <x:c r="F23" s="32">
        <x:v>29.214491500000001</x:v>
      </x:c>
      <x:c r="G23" s="25" t="s">
        <x:v>693</x:v>
      </x:c>
      <x:c r="H23" s="25">
        <x:v>4586359</x:v>
      </x:c>
      <x:c r="I23" s="22" t="s">
        <x:v>749</x:v>
      </x:c>
      <x:c r="J23" s="25" t="s">
        <x:v>750</x:v>
      </x:c>
    </x:row>
    <x:row r="24" ht="15" customHeight="1">
      <x:c r="A24" s="25" t="s">
        <x:v>751</x:v>
      </x:c>
      <x:c r="B24" s="31">
        <x:v>204831</x:v>
      </x:c>
      <x:c r="C24" s="25" t="s">
        <x:v>692</x:v>
      </x:c>
      <x:c r="D24" s="31">
        <x:v>138829</x:v>
      </x:c>
      <x:c r="E24" s="32">
        <x:v>80.862349800000004</x:v>
      </x:c>
      <x:c r="F24" s="32">
        <x:v>29.1879107</x:v>
      </x:c>
      <x:c r="G24" s="25" t="s">
        <x:v>693</x:v>
      </x:c>
      <x:c r="H24" s="25">
        <x:v>4586289</x:v>
      </x:c>
      <x:c r="I24" s="22" t="s">
        <x:v>752</x:v>
      </x:c>
      <x:c r="J24" s="25" t="s">
        <x:v>753</x:v>
      </x:c>
    </x:row>
    <x:row r="25" ht="15" customHeight="1">
      <x:c r="A25" s="25" t="s">
        <x:v>754</x:v>
      </x:c>
      <x:c r="B25" s="31">
        <x:v>674993</x:v>
      </x:c>
      <x:c r="C25" s="25" t="s">
        <x:v>697</x:v>
      </x:c>
      <x:c r="D25" s="31">
        <x:v>147017</x:v>
      </x:c>
      <x:c r="E25" s="32">
        <x:v>82.468417599999995</x:v>
      </x:c>
      <x:c r="F25" s="32">
        <x:v>27.978879899999999</x:v>
      </x:c>
      <x:c r="G25" s="25" t="s">
        <x:v>693</x:v>
      </x:c>
      <x:c r="H25" s="25">
        <x:v>4586360</x:v>
      </x:c>
      <x:c r="I25" s="22" t="s">
        <x:v>755</x:v>
      </x:c>
      <x:c r="J25" s="25" t="s">
        <x:v>756</x:v>
      </x:c>
    </x:row>
    <x:row r="26" ht="15" customHeight="1">
      <x:c r="A26" s="25" t="s">
        <x:v>757</x:v>
      </x:c>
      <x:c r="B26" s="31">
        <x:v>867747</x:v>
      </x:c>
      <x:c r="C26" s="25" t="s">
        <x:v>714</x:v>
      </x:c>
      <x:c r="D26" s="31">
        <x:v>114258</x:v>
      </x:c>
      <x:c r="E26" s="32">
        <x:v>86.035891899999996</x:v>
      </x:c>
      <x:c r="F26" s="32">
        <x:v>26.8510913</x:v>
      </x:c>
      <x:c r="G26" s="25" t="s">
        <x:v>693</x:v>
      </x:c>
      <x:c r="H26" s="25">
        <x:v>4589412</x:v>
      </x:c>
      <x:c r="I26" s="22" t="s">
        <x:v>758</x:v>
      </x:c>
      <x:c r="J26" s="25" t="s">
        <x:v>759</x:v>
      </x:c>
    </x:row>
    <x:row r="27" ht="15" customHeight="1">
      <x:c r="A27" s="25" t="s">
        <x:v>760</x:v>
      </x:c>
      <x:c r="B27" s="31">
        <x:v>56786</x:v>
      </x:c>
      <x:c r="C27" s="25" t="s">
        <x:v>697</x:v>
      </x:c>
      <x:c r="D27" s="31">
        <x:v>147017</x:v>
      </x:c>
      <x:c r="E27" s="32">
        <x:v>82.859148000000005</x:v>
      </x:c>
      <x:c r="F27" s="32">
        <x:v>28.672592300000002</x:v>
      </x:c>
      <x:c r="G27" s="25" t="s">
        <x:v>693</x:v>
      </x:c>
      <x:c r="H27" s="25">
        <x:v>10624408</x:v>
      </x:c>
      <x:c r="I27" s="22" t="s">
        <x:v>761</x:v>
      </x:c>
      <x:c r="J27" s="25" t="s">
        <x:v>762</x:v>
      </x:c>
    </x:row>
    <x:row r="28" ht="15" customHeight="1">
      <x:c r="A28" s="25" t="s">
        <x:v>635</x:v>
      </x:c>
      <x:c r="B28" s="31">
        <x:v>251027</x:v>
      </x:c>
      <x:c r="C28" s="25" t="s">
        <x:v>700</x:v>
      </x:c>
      <x:c r="D28" s="31">
        <x:v>194800</x:v>
      </x:c>
      <x:c r="E28" s="32">
        <x:v>84.840758300000005</x:v>
      </x:c>
      <x:c r="F28" s="32">
        <x:v>28.270836800000001</x:v>
      </x:c>
      <x:c r="G28" s="25" t="s">
        <x:v>693</x:v>
      </x:c>
      <x:c r="H28" s="25">
        <x:v>4588150</x:v>
      </x:c>
      <x:c r="I28" s="22" t="s">
        <x:v>763</x:v>
      </x:c>
      <x:c r="J28" s="25" t="s">
        <x:v>764</x:v>
      </x:c>
    </x:row>
    <x:row r="29" ht="15" customHeight="1">
      <x:c r="A29" s="25" t="s">
        <x:v>765</x:v>
      </x:c>
      <x:c r="B29" s="31">
        <x:v>246494</x:v>
      </x:c>
      <x:c r="C29" s="25" t="s">
        <x:v>697</x:v>
      </x:c>
      <x:c r="D29" s="31">
        <x:v>147017</x:v>
      </x:c>
      <x:c r="E29" s="32">
        <x:v>83.329486399999993</x:v>
      </x:c>
      <x:c r="F29" s="32">
        <x:v>28.095973099999998</x:v>
      </x:c>
      <x:c r="G29" s="25" t="s">
        <x:v>693</x:v>
      </x:c>
      <x:c r="H29" s="25">
        <x:v>4589559</x:v>
      </x:c>
      <x:c r="I29" s="22" t="s">
        <x:v>766</x:v>
      </x:c>
      <x:c r="J29" s="25" t="s">
        <x:v>767</x:v>
      </x:c>
    </x:row>
    <x:row r="30" ht="15" customHeight="1">
      <x:c r="A30" s="25" t="s">
        <x:v>768</x:v>
      </x:c>
      <x:c r="B30" s="31">
        <x:v>55394</x:v>
      </x:c>
      <x:c r="C30" s="25" t="s">
        <x:v>733</x:v>
      </x:c>
      <x:c r="D30" s="31">
        <x:v>130197</x:v>
      </x:c>
      <x:c r="E30" s="32">
        <x:v>81.832912100000001</x:v>
      </x:c>
      <x:c r="F30" s="32">
        <x:v>30.026429499999999</x:v>
      </x:c>
      <x:c r="G30" s="25" t="s">
        <x:v>693</x:v>
      </x:c>
      <x:c r="H30" s="25">
        <x:v>4586370</x:v>
      </x:c>
      <x:c r="I30" s="22" t="s">
        <x:v>769</x:v>
      </x:c>
      <x:c r="J30" s="25" t="s">
        <x:v>770</x:v>
      </x:c>
    </x:row>
    <x:row r="31" ht="15" customHeight="1">
      <x:c r="A31" s="25" t="s">
        <x:v>771</x:v>
      </x:c>
      <x:c r="B31" s="31">
        <x:v>279534</x:v>
      </x:c>
      <x:c r="C31" s="25" t="s">
        <x:v>724</x:v>
      </x:c>
      <x:c r="D31" s="31">
        <x:v>169664</x:v>
      </x:c>
      <x:c r="E31" s="32">
        <x:v>87.920305200000001</x:v>
      </x:c>
      <x:c r="F31" s="32">
        <x:v>26.885407399999998</x:v>
      </x:c>
      <x:c r="G31" s="25" t="s">
        <x:v>693</x:v>
      </x:c>
      <x:c r="H31" s="25">
        <x:v>4589476</x:v>
      </x:c>
      <x:c r="I31" s="22" t="s">
        <x:v>772</x:v>
      </x:c>
      <x:c r="J31" s="25" t="s">
        <x:v>773</x:v>
      </x:c>
    </x:row>
    <x:row r="32" ht="15" customHeight="1">
      <x:c r="A32" s="25" t="s">
        <x:v>774</x:v>
      </x:c>
      <x:c r="B32" s="31">
        <x:v>189360</x:v>
      </x:c>
      <x:c r="C32" s="25" t="s">
        <x:v>733</x:v>
      </x:c>
      <x:c r="D32" s="31">
        <x:v>130197</x:v>
      </x:c>
      <x:c r="E32" s="32">
        <x:v>82.168847900000003</x:v>
      </x:c>
      <x:c r="F32" s="32">
        <x:v>28.869835900000002</x:v>
      </x:c>
      <x:c r="G32" s="25" t="s">
        <x:v>693</x:v>
      </x:c>
      <x:c r="H32" s="25">
        <x:v>4586357</x:v>
      </x:c>
      <x:c r="I32" s="22" t="s">
        <x:v>775</x:v>
      </x:c>
      <x:c r="J32" s="25" t="s">
        <x:v>776</x:v>
      </x:c>
    </x:row>
    <x:row r="33" ht="15" customHeight="1">
      <x:c r="A33" s="25" t="s">
        <x:v>777</x:v>
      </x:c>
      <x:c r="B33" s="31">
        <x:v>998054</x:v>
      </x:c>
      <x:c r="C33" s="25" t="s">
        <x:v>724</x:v>
      </x:c>
      <x:c r="D33" s="31">
        <x:v>169664</x:v>
      </x:c>
      <x:c r="E33" s="32">
        <x:v>87.885700999999997</x:v>
      </x:c>
      <x:c r="F33" s="32">
        <x:v>26.583735399999998</x:v>
      </x:c>
      <x:c r="G33" s="25" t="s">
        <x:v>693</x:v>
      </x:c>
      <x:c r="H33" s="25">
        <x:v>7522458</x:v>
      </x:c>
      <x:c r="I33" s="22" t="s">
        <x:v>778</x:v>
      </x:c>
      <x:c r="J33" s="25" t="s">
        <x:v>779</x:v>
      </x:c>
    </x:row>
    <x:row r="34" ht="15" customHeight="1">
      <x:c r="A34" s="25" t="s">
        <x:v>611</x:v>
      </x:c>
      <x:c r="B34" s="31">
        <x:v>118349</x:v>
      </x:c>
      <x:c r="C34" s="25" t="s">
        <x:v>733</x:v>
      </x:c>
      <x:c r="D34" s="31">
        <x:v>130197</x:v>
      </x:c>
      <x:c r="E34" s="32">
        <x:v>82.197999199999998</x:v>
      </x:c>
      <x:c r="F34" s="32">
        <x:v>29.238896799999999</x:v>
      </x:c>
      <x:c r="G34" s="25" t="s">
        <x:v>693</x:v>
      </x:c>
      <x:c r="H34" s="25">
        <x:v>15588737</x:v>
      </x:c>
      <x:c r="I34" s="22" t="s">
        <x:v>780</x:v>
      </x:c>
      <x:c r="J34" s="25" t="s">
        <x:v>781</x:v>
      </x:c>
    </x:row>
    <x:row r="35" ht="15" customHeight="1">
      <x:c r="A35" s="25" t="s">
        <x:v>782</x:v>
      </x:c>
      <x:c r="B35" s="31">
        <x:v>904666</x:v>
      </x:c>
      <x:c r="C35" s="25" t="s">
        <x:v>692</x:v>
      </x:c>
      <x:c r="D35" s="31">
        <x:v>138829</x:v>
      </x:c>
      <x:c r="E35" s="32">
        <x:v>80.903698300000002</x:v>
      </x:c>
      <x:c r="F35" s="32">
        <x:v>28.731525000000001</x:v>
      </x:c>
      <x:c r="G35" s="25" t="s">
        <x:v>693</x:v>
      </x:c>
      <x:c r="H35" s="25">
        <x:v>4586287</x:v>
      </x:c>
      <x:c r="I35" s="22" t="s">
        <x:v>783</x:v>
      </x:c>
      <x:c r="J35" s="25" t="s">
        <x:v>784</x:v>
      </x:c>
    </x:row>
    <x:row r="36" ht="15" customHeight="1">
      <x:c r="A36" s="25" t="s">
        <x:v>631</x:v>
      </x:c>
      <x:c r="B36" s="31">
        <x:v>145292</x:v>
      </x:c>
      <x:c r="C36" s="25" t="s">
        <x:v>733</x:v>
      </x:c>
      <x:c r="D36" s="31">
        <x:v>130197</x:v>
      </x:c>
      <x:c r="E36" s="32">
        <x:v>81.688419999999994</x:v>
      </x:c>
      <x:c r="F36" s="32">
        <x:v>29.216040599999999</x:v>
      </x:c>
      <x:c r="G36" s="25" t="s">
        <x:v>693</x:v>
      </x:c>
      <x:c r="H36" s="25">
        <x:v>4586361</x:v>
      </x:c>
      <x:c r="I36" s="22" t="s">
        <x:v>785</x:v>
      </x:c>
      <x:c r="J36" s="25" t="s">
        <x:v>786</x:v>
      </x:c>
    </x:row>
    <x:row r="37" ht="15" customHeight="1">
      <x:c r="A37" s="25" t="s">
        <x:v>787</x:v>
      </x:c>
      <x:c r="B37" s="31">
        <x:v>513757</x:v>
      </x:c>
      <x:c r="C37" s="25" t="s">
        <x:v>692</x:v>
      </x:c>
      <x:c r="D37" s="31">
        <x:v>138829</x:v>
      </x:c>
      <x:c r="E37" s="32">
        <x:v>80.283307100000002</x:v>
      </x:c>
      <x:c r="F37" s="32">
        <x:v>28.843945099999999</x:v>
      </x:c>
      <x:c r="G37" s="25" t="s">
        <x:v>693</x:v>
      </x:c>
      <x:c r="H37" s="25">
        <x:v>4586286</x:v>
      </x:c>
      <x:c r="I37" s="22" t="s">
        <x:v>788</x:v>
      </x:c>
      <x:c r="J37" s="25" t="s">
        <x:v>789</x:v>
      </x:c>
    </x:row>
    <x:row r="38" ht="15" customHeight="1">
      <x:c r="A38" s="25" t="s">
        <x:v>790</x:v>
      </x:c>
      <x:c r="B38" s="31">
        <x:v>682961</x:v>
      </x:c>
      <x:c r="C38" s="25" t="s">
        <x:v>697</x:v>
      </x:c>
      <x:c r="D38" s="31">
        <x:v>147017</x:v>
      </x:c>
      <x:c r="E38" s="32">
        <x:v>82.982226600000004</x:v>
      </x:c>
      <x:c r="F38" s="32">
        <x:v>27.619237699999999</x:v>
      </x:c>
      <x:c r="G38" s="25" t="s">
        <x:v>693</x:v>
      </x:c>
      <x:c r="H38" s="25">
        <x:v>4589558</x:v>
      </x:c>
      <x:c r="I38" s="22" t="s">
        <x:v>791</x:v>
      </x:c>
      <x:c r="J38" s="25" t="s">
        <x:v>792</x:v>
      </x:c>
    </x:row>
    <x:row r="39" ht="15" customHeight="1">
      <x:c r="A39" s="25" t="s">
        <x:v>793</x:v>
      </x:c>
      <x:c r="B39" s="31">
        <x:v>600051</x:v>
      </x:c>
      <x:c r="C39" s="25" t="s">
        <x:v>700</x:v>
      </x:c>
      <x:c r="D39" s="31">
        <x:v>194800</x:v>
      </x:c>
      <x:c r="E39" s="32">
        <x:v>83.971695699999998</x:v>
      </x:c>
      <x:c r="F39" s="32">
        <x:v>28.344838200000002</x:v>
      </x:c>
      <x:c r="G39" s="25" t="s">
        <x:v>693</x:v>
      </x:c>
      <x:c r="H39" s="25">
        <x:v>4588149</x:v>
      </x:c>
      <x:c r="I39" s="22" t="s">
        <x:v>794</x:v>
      </x:c>
      <x:c r="J39" s="25" t="s">
        <x:v>795</x:v>
      </x:c>
    </x:row>
    <x:row r="40" ht="15" customHeight="1">
      <x:c r="A40" s="25" t="s">
        <x:v>796</x:v>
      </x:c>
      <x:c r="B40" s="31">
        <x:v>2041587</x:v>
      </x:c>
      <x:c r="C40" s="25" t="s">
        <x:v>721</x:v>
      </x:c>
      <x:c r="D40" s="31">
        <x:v>320558</x:v>
      </x:c>
      <x:c r="E40" s="32">
        <x:v>85.320581700000005</x:v>
      </x:c>
      <x:c r="F40" s="32">
        <x:v>27.708317000000001</x:v>
      </x:c>
      <x:c r="G40" s="25" t="s">
        <x:v>693</x:v>
      </x:c>
      <x:c r="H40" s="25">
        <x:v>12394677</x:v>
      </x:c>
      <x:c r="I40" s="22" t="s">
        <x:v>797</x:v>
      </x:c>
      <x:c r="J40" s="25" t="s">
        <x:v>798</x:v>
      </x:c>
    </x:row>
    <x:row r="41" ht="15" customHeight="1">
      <x:c r="A41" s="25" t="s">
        <x:v>799</x:v>
      </x:c>
      <x:c r="B41" s="31">
        <x:v>364039</x:v>
      </x:c>
      <x:c r="C41" s="25" t="s">
        <x:v>721</x:v>
      </x:c>
      <x:c r="D41" s="31">
        <x:v>320558</x:v>
      </x:c>
      <x:c r="E41" s="32">
        <x:v>85.623835099999994</x:v>
      </x:c>
      <x:c r="F41" s="32">
        <x:v>27.545386100000002</x:v>
      </x:c>
      <x:c r="G41" s="25" t="s">
        <x:v>693</x:v>
      </x:c>
      <x:c r="H41" s="25">
        <x:v>4583248</x:v>
      </x:c>
      <x:c r="I41" s="22" t="s">
        <x:v>800</x:v>
      </x:c>
      <x:c r="J41" s="25" t="s">
        <x:v>801</x:v>
      </x:c>
    </x:row>
    <x:row r="42" ht="15" customHeight="1">
      <x:c r="A42" s="25" t="s">
        <x:v>802</x:v>
      </x:c>
      <x:c r="B42" s="31">
        <x:v>175298</x:v>
      </x:c>
      <x:c r="C42" s="25" t="s">
        <x:v>724</x:v>
      </x:c>
      <x:c r="D42" s="31">
        <x:v>169664</x:v>
      </x:c>
      <x:c r="E42" s="32">
        <x:v>86.679971499999994</x:v>
      </x:c>
      <x:c r="F42" s="32">
        <x:v>27.1554468</x:v>
      </x:c>
      <x:c r="G42" s="25" t="s">
        <x:v>693</x:v>
      </x:c>
      <x:c r="H42" s="25">
        <x:v>4589464</x:v>
      </x:c>
      <x:c r="I42" s="22" t="s">
        <x:v>803</x:v>
      </x:c>
      <x:c r="J42" s="25" t="s">
        <x:v>804</x:v>
      </x:c>
    </x:row>
    <x:row r="43" ht="15" customHeight="1">
      <x:c r="A43" s="25" t="s">
        <x:v>805</x:v>
      </x:c>
      <x:c r="B43" s="31">
        <x:v>551667</x:v>
      </x:c>
      <x:c r="C43" s="25" t="s">
        <x:v>721</x:v>
      </x:c>
      <x:c r="D43" s="31">
        <x:v>320558</x:v>
      </x:c>
      <x:c r="E43" s="32">
        <x:v>85.322938399999998</x:v>
      </x:c>
      <x:c r="F43" s="32">
        <x:v>27.5482923</x:v>
      </x:c>
      <x:c r="G43" s="25" t="s">
        <x:v>693</x:v>
      </x:c>
      <x:c r="H43" s="25">
        <x:v>4583253</x:v>
      </x:c>
      <x:c r="I43" s="22" t="s">
        <x:v>806</x:v>
      </x:c>
      <x:c r="J43" s="25" t="s">
        <x:v>807</x:v>
      </x:c>
    </x:row>
    <x:row r="44" ht="15" customHeight="1">
      <x:c r="A44" s="25" t="s">
        <x:v>808</x:v>
      </x:c>
      <x:c r="B44" s="31">
        <x:v>155852</x:v>
      </x:c>
      <x:c r="C44" s="25" t="s">
        <x:v>700</x:v>
      </x:c>
      <x:c r="D44" s="31">
        <x:v>194800</x:v>
      </x:c>
      <x:c r="E44" s="32">
        <x:v>84.418944100000004</x:v>
      </x:c>
      <x:c r="F44" s="32">
        <x:v>28.2875598</x:v>
      </x:c>
      <x:c r="G44" s="25" t="s">
        <x:v>693</x:v>
      </x:c>
      <x:c r="H44" s="25">
        <x:v>4588153</x:v>
      </x:c>
      <x:c r="I44" s="22" t="s">
        <x:v>809</x:v>
      </x:c>
      <x:c r="J44" s="25" t="s">
        <x:v>810</x:v>
      </x:c>
    </x:row>
    <x:row r="45" ht="15" customHeight="1">
      <x:c r="A45" s="25" t="s">
        <x:v>811</x:v>
      </x:c>
      <x:c r="B45" s="31">
        <x:v>706994</x:v>
      </x:c>
      <x:c r="C45" s="25" t="s">
        <x:v>714</x:v>
      </x:c>
      <x:c r="D45" s="31">
        <x:v>114258</x:v>
      </x:c>
      <x:c r="E45" s="32">
        <x:v>85.796798800000005</x:v>
      </x:c>
      <x:c r="F45" s="32">
        <x:v>26.884356400000001</x:v>
      </x:c>
      <x:c r="G45" s="25" t="s">
        <x:v>693</x:v>
      </x:c>
      <x:c r="H45" s="25">
        <x:v>4589416</x:v>
      </x:c>
      <x:c r="I45" s="22" t="s">
        <x:v>812</x:v>
      </x:c>
      <x:c r="J45" s="25" t="s">
        <x:v>813</x:v>
      </x:c>
    </x:row>
    <x:row r="46" ht="15" customHeight="1">
      <x:c r="A46" s="25" t="s">
        <x:v>814</x:v>
      </x:c>
      <x:c r="B46" s="31">
        <x:v>466073</x:v>
      </x:c>
      <x:c r="C46" s="25" t="s">
        <x:v>721</x:v>
      </x:c>
      <x:c r="D46" s="31">
        <x:v>320558</x:v>
      </x:c>
      <x:c r="E46" s="32">
        <x:v>85.055081200000004</x:v>
      </x:c>
      <x:c r="F46" s="32">
        <x:v>27.436538899999999</x:v>
      </x:c>
      <x:c r="G46" s="25" t="s">
        <x:v>693</x:v>
      </x:c>
      <x:c r="H46" s="25">
        <x:v>4589415</x:v>
      </x:c>
      <x:c r="I46" s="22" t="s">
        <x:v>815</x:v>
      </x:c>
      <x:c r="J46" s="25" t="s">
        <x:v>816</x:v>
      </x:c>
    </x:row>
    <x:row r="47" ht="15" customHeight="1">
      <x:c r="A47" s="25" t="s">
        <x:v>597</x:v>
      </x:c>
      <x:c r="B47" s="31">
        <x:v>5658</x:v>
      </x:c>
      <x:c r="C47" s="25" t="s">
        <x:v>700</x:v>
      </x:c>
      <x:c r="D47" s="31">
        <x:v>194800</x:v>
      </x:c>
      <x:c r="E47" s="32">
        <x:v>84.170885100000007</x:v>
      </x:c>
      <x:c r="F47" s="32">
        <x:v>28.671835999999999</x:v>
      </x:c>
      <x:c r="G47" s="25" t="s">
        <x:v>693</x:v>
      </x:c>
      <x:c r="H47" s="25">
        <x:v>4588152</x:v>
      </x:c>
      <x:c r="I47" s="22" t="s">
        <x:v>817</x:v>
      </x:c>
      <x:c r="J47" s="25" t="s">
        <x:v>818</x:v>
      </x:c>
    </x:row>
    <x:row r="48" ht="15" customHeight="1">
      <x:c r="A48" s="25" t="s">
        <x:v>819</x:v>
      </x:c>
      <x:c r="B48" s="31">
        <x:v>1148156</x:v>
      </x:c>
      <x:c r="C48" s="25" t="s">
        <x:v>724</x:v>
      </x:c>
      <x:c r="D48" s="31">
        <x:v>169664</x:v>
      </x:c>
      <x:c r="E48" s="32">
        <x:v>87.4728511</x:v>
      </x:c>
      <x:c r="F48" s="32">
        <x:v>26.6105187</x:v>
      </x:c>
      <x:c r="G48" s="25" t="s">
        <x:v>693</x:v>
      </x:c>
      <x:c r="H48" s="25">
        <x:v>4589468</x:v>
      </x:c>
      <x:c r="I48" s="22" t="s">
        <x:v>820</x:v>
      </x:c>
      <x:c r="J48" s="25" t="s">
        <x:v>821</x:v>
      </x:c>
    </x:row>
    <x:row r="49" ht="15" customHeight="1">
      <x:c r="A49" s="25" t="s">
        <x:v>822</x:v>
      </x:c>
      <x:c r="B49" s="31">
        <x:v>64549</x:v>
      </x:c>
      <x:c r="C49" s="25" t="s">
        <x:v>733</x:v>
      </x:c>
      <x:c r="D49" s="31">
        <x:v>130197</x:v>
      </x:c>
      <x:c r="E49" s="32">
        <x:v>82.530081199999998</x:v>
      </x:c>
      <x:c r="F49" s="32">
        <x:v>29.6793236</x:v>
      </x:c>
      <x:c r="G49" s="25" t="s">
        <x:v>693</x:v>
      </x:c>
      <x:c r="H49" s="25">
        <x:v>4586365</x:v>
      </x:c>
      <x:c r="I49" s="22" t="s">
        <x:v>823</x:v>
      </x:c>
      <x:c r="J49" s="25" t="s">
        <x:v>824</x:v>
      </x:c>
    </x:row>
    <x:row r="50" ht="15" customHeight="1">
      <x:c r="A50" s="25" t="s">
        <x:v>825</x:v>
      </x:c>
      <x:c r="B50" s="31">
        <x:v>14452</x:v>
      </x:c>
      <x:c r="C50" s="25" t="s">
        <x:v>700</x:v>
      </x:c>
      <x:c r="D50" s="31">
        <x:v>194800</x:v>
      </x:c>
      <x:c r="E50" s="32">
        <x:v>83.900569000000004</x:v>
      </x:c>
      <x:c r="F50" s="32">
        <x:v>28.948133299999999</x:v>
      </x:c>
      <x:c r="G50" s="25" t="s">
        <x:v>693</x:v>
      </x:c>
      <x:c r="H50" s="25">
        <x:v>4588145</x:v>
      </x:c>
      <x:c r="I50" s="22" t="s">
        <x:v>826</x:v>
      </x:c>
      <x:c r="J50" s="25" t="s">
        <x:v>827</x:v>
      </x:c>
    </x:row>
    <x:row r="51" ht="15" customHeight="1">
      <x:c r="A51" s="25" t="s">
        <x:v>828</x:v>
      </x:c>
      <x:c r="B51" s="31">
        <x:v>107033</x:v>
      </x:c>
      <x:c r="C51" s="25" t="s">
        <x:v>700</x:v>
      </x:c>
      <x:c r="D51" s="31">
        <x:v>194800</x:v>
      </x:c>
      <x:c r="E51" s="32">
        <x:v>83.463263299999994</x:v>
      </x:c>
      <x:c r="F51" s="32">
        <x:v>28.5439443</x:v>
      </x:c>
      <x:c r="G51" s="25" t="s">
        <x:v>693</x:v>
      </x:c>
      <x:c r="H51" s="25">
        <x:v>4588146</x:v>
      </x:c>
      <x:c r="I51" s="22" t="s">
        <x:v>829</x:v>
      </x:c>
      <x:c r="J51" s="25" t="s">
        <x:v>830</x:v>
      </x:c>
    </x:row>
    <x:row r="52" ht="15" customHeight="1">
      <x:c r="A52" s="25" t="s">
        <x:v>831</x:v>
      </x:c>
      <x:c r="B52" s="31">
        <x:v>378079</x:v>
      </x:c>
      <x:c r="C52" s="25" t="s">
        <x:v>700</x:v>
      </x:c>
      <x:c r="D52" s="31">
        <x:v>194800</x:v>
      </x:c>
      <x:c r="E52" s="32">
        <x:v>84.031136700000005</x:v>
      </x:c>
      <x:c r="F52" s="32">
        <x:v>27.6537641</x:v>
      </x:c>
      <x:c r="G52" s="25" t="s">
        <x:v>693</x:v>
      </x:c>
      <x:c r="H52" s="25">
        <x:v>10489606</x:v>
      </x:c>
      <x:c r="I52" s="22" t="s">
        <x:v>832</x:v>
      </x:c>
      <x:c r="J52" s="25" t="s">
        <x:v>833</x:v>
      </x:c>
    </x:row>
    <x:row r="53" ht="15" customHeight="1">
      <x:c r="A53" s="25" t="s">
        <x:v>834</x:v>
      </x:c>
      <x:c r="B53" s="31">
        <x:v>263391</x:v>
      </x:c>
      <x:c r="C53" s="25" t="s">
        <x:v>721</x:v>
      </x:c>
      <x:c r="D53" s="31">
        <x:v>320558</x:v>
      </x:c>
      <x:c r="E53" s="32">
        <x:v>85.248671999999999</x:v>
      </x:c>
      <x:c r="F53" s="32">
        <x:v>27.925799099999999</x:v>
      </x:c>
      <x:c r="G53" s="25" t="s">
        <x:v>693</x:v>
      </x:c>
      <x:c r="H53" s="25">
        <x:v>4583250</x:v>
      </x:c>
      <x:c r="I53" s="22" t="s">
        <x:v>835</x:v>
      </x:c>
      <x:c r="J53" s="25" t="s">
        <x:v>836</x:v>
      </x:c>
    </x:row>
    <x:row r="54" ht="15" customHeight="1">
      <x:c r="A54" s="25" t="s">
        <x:v>837</x:v>
      </x:c>
      <x:c r="B54" s="31">
        <x:v>139552</x:v>
      </x:c>
      <x:c r="C54" s="25" t="s">
        <x:v>724</x:v>
      </x:c>
      <x:c r="D54" s="31">
        <x:v>169664</x:v>
      </x:c>
      <x:c r="E54" s="32">
        <x:v>86.448945600000002</x:v>
      </x:c>
      <x:c r="F54" s="32">
        <x:v>27.336302400000001</x:v>
      </x:c>
      <x:c r="G54" s="25" t="s">
        <x:v>693</x:v>
      </x:c>
      <x:c r="H54" s="25">
        <x:v>4589463</x:v>
      </x:c>
      <x:c r="I54" s="22" t="s">
        <x:v>838</x:v>
      </x:c>
      <x:c r="J54" s="25" t="s">
        <x:v>839</x:v>
      </x:c>
    </x:row>
    <x:row r="55" ht="15" customHeight="1">
      <x:c r="A55" s="25" t="s">
        <x:v>840</x:v>
      </x:c>
      <x:c r="B55" s="31">
        <x:v>245027</x:v>
      </x:c>
      <x:c r="C55" s="25" t="s">
        <x:v>697</x:v>
      </x:c>
      <x:c r="D55" s="31">
        <x:v>147017</x:v>
      </x:c>
      <x:c r="E55" s="32">
        <x:v>83.630438999999996</x:v>
      </x:c>
      <x:c r="F55" s="32">
        <x:v>27.811050699999999</x:v>
      </x:c>
      <x:c r="G55" s="25" t="s">
        <x:v>693</x:v>
      </x:c>
      <x:c r="H55" s="25">
        <x:v>4589561</x:v>
      </x:c>
      <x:c r="I55" s="22" t="s">
        <x:v>841</x:v>
      </x:c>
      <x:c r="J55" s="25" t="s">
        <x:v>842</x:v>
      </x:c>
    </x:row>
    <x:row r="56" ht="15" customHeight="1">
      <x:c r="A56" s="25" t="s">
        <x:v>843</x:v>
      </x:c>
      <x:c r="B56" s="31">
        <x:v>172400</x:v>
      </x:c>
      <x:c r="C56" s="25" t="s">
        <x:v>724</x:v>
      </x:c>
      <x:c r="D56" s="31">
        <x:v>169664</x:v>
      </x:c>
      <x:c r="E56" s="32">
        <x:v>87.855047900000002</x:v>
      </x:c>
      <x:c r="F56" s="32">
        <x:v>27.149073099999999</x:v>
      </x:c>
      <x:c r="G56" s="25" t="s">
        <x:v>693</x:v>
      </x:c>
      <x:c r="H56" s="25">
        <x:v>4589479</x:v>
      </x:c>
      <x:c r="I56" s="22" t="s">
        <x:v>844</x:v>
      </x:c>
      <x:c r="J56" s="25" t="s">
        <x:v>845</x:v>
      </x:c>
    </x:row>
    <x:row r="57" ht="15" customHeight="1">
      <x:c r="A57" s="25" t="s">
        <x:v>846</x:v>
      </x:c>
      <x:c r="B57" s="31">
        <x:v>386868</x:v>
      </x:c>
      <x:c r="C57" s="25" t="s">
        <x:v>697</x:v>
      </x:c>
      <x:c r="D57" s="31">
        <x:v>147017</x:v>
      </x:c>
      <x:c r="E57" s="32">
        <x:v>83.736322999999999</x:v>
      </x:c>
      <x:c r="F57" s="32">
        <x:v>27.522507900000001</x:v>
      </x:c>
      <x:c r="G57" s="25" t="s">
        <x:v>693</x:v>
      </x:c>
      <x:c r="H57" s="25">
        <x:v>4589560</x:v>
      </x:c>
      <x:c r="I57" s="22" t="s">
        <x:v>847</x:v>
      </x:c>
      <x:c r="J57" s="25" t="s">
        <x:v>848</x:v>
      </x:c>
    </x:row>
    <x:row r="58" ht="15" customHeight="1">
      <x:c r="A58" s="25" t="s">
        <x:v>849</x:v>
      </x:c>
      <x:c r="B58" s="31">
        <x:v>130887</x:v>
      </x:c>
      <x:c r="C58" s="25" t="s">
        <x:v>700</x:v>
      </x:c>
      <x:c r="D58" s="31">
        <x:v>194800</x:v>
      </x:c>
      <x:c r="E58" s="32">
        <x:v>83.728034100000002</x:v>
      </x:c>
      <x:c r="F58" s="32">
        <x:v>28.2021248</x:v>
      </x:c>
      <x:c r="G58" s="25" t="s">
        <x:v>693</x:v>
      </x:c>
      <x:c r="H58" s="25">
        <x:v>4588143</x:v>
      </x:c>
      <x:c r="I58" s="22" t="s">
        <x:v>850</x:v>
      </x:c>
      <x:c r="J58" s="25" t="s">
        <x:v>851</x:v>
      </x:c>
    </x:row>
    <x:row r="59" ht="15" customHeight="1">
      <x:c r="A59" s="25" t="s">
        <x:v>852</x:v>
      </x:c>
      <x:c r="B59" s="31">
        <x:v>654471</x:v>
      </x:c>
      <x:c r="C59" s="25" t="s">
        <x:v>714</x:v>
      </x:c>
      <x:c r="D59" s="31">
        <x:v>114258</x:v>
      </x:c>
      <x:c r="E59" s="32">
        <x:v>84.826470900000004</x:v>
      </x:c>
      <x:c r="F59" s="32">
        <x:v>27.2237847</x:v>
      </x:c>
      <x:c r="G59" s="25" t="s">
        <x:v>693</x:v>
      </x:c>
      <x:c r="H59" s="25">
        <x:v>4589413</x:v>
      </x:c>
      <x:c r="I59" s="22" t="s">
        <x:v>853</x:v>
      </x:c>
      <x:c r="J59" s="25" t="s">
        <x:v>854</x:v>
      </x:c>
    </x:row>
    <x:row r="60" ht="15" customHeight="1">
      <x:c r="A60" s="25" t="s">
        <x:v>855</x:v>
      </x:c>
      <x:c r="B60" s="31">
        <x:v>232019</x:v>
      </x:c>
      <x:c r="C60" s="25" t="s">
        <x:v>697</x:v>
      </x:c>
      <x:c r="D60" s="31">
        <x:v>147017</x:v>
      </x:c>
      <x:c r="E60" s="32">
        <x:v>82.829980899999995</x:v>
      </x:c>
      <x:c r="F60" s="32">
        <x:v>28.119881700000001</x:v>
      </x:c>
      <x:c r="G60" s="25" t="s">
        <x:v>693</x:v>
      </x:c>
      <x:c r="H60" s="25">
        <x:v>4586362</x:v>
      </x:c>
      <x:c r="I60" s="22" t="s">
        <x:v>856</x:v>
      </x:c>
      <x:c r="J60" s="25" t="s">
        <x:v>857</x:v>
      </x:c>
    </x:row>
    <x:row r="61" ht="15" customHeight="1">
      <x:c r="A61" s="25" t="s">
        <x:v>858</x:v>
      </x:c>
      <x:c r="B61" s="31">
        <x:v>170302</x:v>
      </x:c>
      <x:c r="C61" s="25" t="s">
        <x:v>721</x:v>
      </x:c>
      <x:c r="D61" s="31">
        <x:v>320558</x:v>
      </x:c>
      <x:c r="E61" s="32">
        <x:v>86.256790899999999</x:v>
      </x:c>
      <x:c r="F61" s="32">
        <x:v>27.536950000000001</x:v>
      </x:c>
      <x:c r="G61" s="25" t="s">
        <x:v>693</x:v>
      </x:c>
      <x:c r="H61" s="25">
        <x:v>4589417</x:v>
      </x:c>
      <x:c r="I61" s="22" t="s">
        <x:v>859</x:v>
      </x:c>
      <x:c r="J61" s="25" t="s">
        <x:v>860</x:v>
      </x:c>
    </x:row>
    <x:row r="62" ht="15" customHeight="1">
      <x:c r="A62" s="25" t="s">
        <x:v>861</x:v>
      </x:c>
      <x:c r="B62" s="31">
        <x:v>46689</x:v>
      </x:c>
      <x:c r="C62" s="25" t="s">
        <x:v>721</x:v>
      </x:c>
      <x:c r="D62" s="31">
        <x:v>320558</x:v>
      </x:c>
      <x:c r="E62" s="32">
        <x:v>85.477602500000003</x:v>
      </x:c>
      <x:c r="F62" s="32">
        <x:v>28.175359100000001</x:v>
      </x:c>
      <x:c r="G62" s="25" t="s">
        <x:v>693</x:v>
      </x:c>
      <x:c r="H62" s="25">
        <x:v>4583252</x:v>
      </x:c>
      <x:c r="I62" s="22" t="s">
        <x:v>862</x:v>
      </x:c>
      <x:c r="J62" s="25" t="s">
        <x:v>863</x:v>
      </x:c>
    </x:row>
    <x:row r="63" ht="15" customHeight="1">
      <x:c r="A63" s="25" t="s">
        <x:v>864</x:v>
      </x:c>
      <x:c r="B63" s="31">
        <x:v>813573</x:v>
      </x:c>
      <x:c r="C63" s="25" t="s">
        <x:v>714</x:v>
      </x:c>
      <x:c r="D63" s="31">
        <x:v>114258</x:v>
      </x:c>
      <x:c r="E63" s="32">
        <x:v>85.282889900000001</x:v>
      </x:c>
      <x:c r="F63" s="32">
        <x:v>26.988976600000001</x:v>
      </x:c>
      <x:c r="G63" s="25" t="s">
        <x:v>693</x:v>
      </x:c>
      <x:c r="H63" s="25">
        <x:v>4589418</x:v>
      </x:c>
      <x:c r="I63" s="22" t="s">
        <x:v>865</x:v>
      </x:c>
      <x:c r="J63" s="25" t="s">
        <x:v>866</x:v>
      </x:c>
    </x:row>
    <x:row r="64" ht="15" customHeight="1">
      <x:c r="A64" s="25" t="s">
        <x:v>867</x:v>
      </x:c>
      <x:c r="B64" s="31">
        <x:v>234793</x:v>
      </x:c>
      <x:c r="C64" s="25" t="s">
        <x:v>697</x:v>
      </x:c>
      <x:c r="D64" s="31">
        <x:v>147017</x:v>
      </x:c>
      <x:c r="E64" s="32">
        <x:v>82.604457600000003</x:v>
      </x:c>
      <x:c r="F64" s="32">
        <x:v>28.3294736</x:v>
      </x:c>
      <x:c r="G64" s="25" t="s">
        <x:v>693</x:v>
      </x:c>
      <x:c r="H64" s="25">
        <x:v>10507521</x:v>
      </x:c>
      <x:c r="I64" s="22" t="s">
        <x:v>868</x:v>
      </x:c>
      <x:c r="J64" s="25" t="s">
        <x:v>869</x:v>
      </x:c>
    </x:row>
    <x:row r="65" ht="15" customHeight="1">
      <x:c r="A65" s="25" t="s">
        <x:v>870</x:v>
      </x:c>
      <x:c r="B65" s="31">
        <x:v>1121957</x:v>
      </x:c>
      <x:c r="C65" s="25" t="s">
        <x:v>697</x:v>
      </x:c>
      <x:c r="D65" s="31">
        <x:v>147017</x:v>
      </x:c>
      <x:c r="E65" s="32">
        <x:v>83.403352699999999</x:v>
      </x:c>
      <x:c r="F65" s="32">
        <x:v>27.548773600000001</x:v>
      </x:c>
      <x:c r="G65" s="25" t="s">
        <x:v>693</x:v>
      </x:c>
      <x:c r="H65" s="25">
        <x:v>4586049</x:v>
      </x:c>
      <x:c r="I65" s="22" t="s">
        <x:v>871</x:v>
      </x:c>
      <x:c r="J65" s="25" t="s">
        <x:v>872</x:v>
      </x:c>
    </x:row>
    <x:row r="66" ht="15" customHeight="1">
      <x:c r="A66" s="25" t="s">
        <x:v>873</x:v>
      </x:c>
      <x:c r="B66" s="31">
        <x:v>238515</x:v>
      </x:c>
      <x:c r="C66" s="25" t="s">
        <x:v>733</x:v>
      </x:c>
      <x:c r="D66" s="31">
        <x:v>130197</x:v>
      </x:c>
      <x:c r="E66" s="32">
        <x:v>82.167580700000002</x:v>
      </x:c>
      <x:c r="F66" s="32">
        <x:v>28.406825600000001</x:v>
      </x:c>
      <x:c r="G66" s="25" t="s">
        <x:v>693</x:v>
      </x:c>
      <x:c r="H66" s="25">
        <x:v>4586368</x:v>
      </x:c>
      <x:c r="I66" s="22" t="s">
        <x:v>874</x:v>
      </x:c>
      <x:c r="J66" s="25" t="s">
        <x:v>875</x:v>
      </x:c>
    </x:row>
    <x:row r="67" ht="15" customHeight="1">
      <x:c r="A67" s="25" t="s">
        <x:v>876</x:v>
      </x:c>
      <x:c r="B67" s="31">
        <x:v>158041</x:v>
      </x:c>
      <x:c r="C67" s="25" t="s">
        <x:v>724</x:v>
      </x:c>
      <x:c r="D67" s="31">
        <x:v>169664</x:v>
      </x:c>
      <x:c r="E67" s="32">
        <x:v>87.226385199999996</x:v>
      </x:c>
      <x:c r="F67" s="32">
        <x:v>27.5465807</x:v>
      </x:c>
      <x:c r="G67" s="25" t="s">
        <x:v>693</x:v>
      </x:c>
      <x:c r="H67" s="25">
        <x:v>4589469</x:v>
      </x:c>
      <x:c r="I67" s="22" t="s">
        <x:v>877</x:v>
      </x:c>
      <x:c r="J67" s="25" t="s">
        <x:v>878</x:v>
      </x:c>
    </x:row>
    <x:row r="68" ht="15" customHeight="1">
      <x:c r="A68" s="25" t="s">
        <x:v>879</x:v>
      </x:c>
      <x:c r="B68" s="31">
        <x:v>706255</x:v>
      </x:c>
      <x:c r="C68" s="25" t="s">
        <x:v>714</x:v>
      </x:c>
      <x:c r="D68" s="31">
        <x:v>114258</x:v>
      </x:c>
      <x:c r="E68" s="32">
        <x:v>86.7493798</x:v>
      </x:c>
      <x:c r="F68" s="32">
        <x:v>26.607161699999999</x:v>
      </x:c>
      <x:c r="G68" s="25" t="s">
        <x:v>693</x:v>
      </x:c>
      <x:c r="H68" s="25">
        <x:v>4589470</x:v>
      </x:c>
      <x:c r="I68" s="22" t="s">
        <x:v>880</x:v>
      </x:c>
      <x:c r="J68" s="25" t="s">
        <x:v>881</x:v>
      </x:c>
    </x:row>
    <x:row r="69" ht="15" customHeight="1">
      <x:c r="A69" s="25" t="s">
        <x:v>882</x:v>
      </x:c>
      <x:c r="B69" s="31">
        <x:v>862470</x:v>
      </x:c>
      <x:c r="C69" s="25" t="s">
        <x:v>714</x:v>
      </x:c>
      <x:c r="D69" s="31">
        <x:v>114258</x:v>
      </x:c>
      <x:c r="E69" s="32">
        <x:v>85.563875699999997</x:v>
      </x:c>
      <x:c r="F69" s="32">
        <x:v>26.9688184</x:v>
      </x:c>
      <x:c r="G69" s="25" t="s">
        <x:v>693</x:v>
      </x:c>
      <x:c r="H69" s="25">
        <x:v>4589419</x:v>
      </x:c>
      <x:c r="I69" s="22" t="s">
        <x:v>883</x:v>
      </x:c>
      <x:c r="J69" s="25" t="s">
        <x:v>884</x:v>
      </x:c>
    </x:row>
    <x:row r="70" ht="15" customHeight="1">
      <x:c r="A70" s="25" t="s">
        <x:v>885</x:v>
      </x:c>
      <x:c r="B70" s="31">
        <x:v>300026</x:v>
      </x:c>
      <x:c r="C70" s="25" t="s">
        <x:v>721</x:v>
      </x:c>
      <x:c r="D70" s="31">
        <x:v>320558</x:v>
      </x:c>
      <x:c r="E70" s="32">
        <x:v>86.070139299999994</x:v>
      </x:c>
      <x:c r="F70" s="32">
        <x:v>27.185192000000001</x:v>
      </x:c>
      <x:c r="G70" s="25" t="s">
        <x:v>693</x:v>
      </x:c>
      <x:c r="H70" s="25">
        <x:v>4589420</x:v>
      </x:c>
      <x:c r="I70" s="22" t="s">
        <x:v>886</x:v>
      </x:c>
      <x:c r="J70" s="25" t="s">
        <x:v>887</x:v>
      </x:c>
    </x:row>
    <x:row r="71" ht="15" customHeight="1">
      <x:c r="A71" s="25" t="s">
        <x:v>888</x:v>
      </x:c>
      <x:c r="B71" s="31">
        <x:v>262624</x:v>
      </x:c>
      <x:c r="C71" s="25" t="s">
        <x:v>721</x:v>
      </x:c>
      <x:c r="D71" s="31">
        <x:v>320558</x:v>
      </x:c>
      <x:c r="E71" s="32">
        <x:v>85.756305499999996</x:v>
      </x:c>
      <x:c r="F71" s="32">
        <x:v>27.905912699999998</x:v>
      </x:c>
      <x:c r="G71" s="25" t="s">
        <x:v>693</x:v>
      </x:c>
      <x:c r="H71" s="25">
        <x:v>4583254</x:v>
      </x:c>
      <x:c r="I71" s="22" t="s">
        <x:v>889</x:v>
      </x:c>
      <x:c r="J71" s="25" t="s">
        <x:v>890</x:v>
      </x:c>
    </x:row>
    <x:row r="72" ht="15" customHeight="1">
      <x:c r="A72" s="25" t="s">
        <x:v>891</x:v>
      </x:c>
      <x:c r="B72" s="31">
        <x:v>739953</x:v>
      </x:c>
      <x:c r="C72" s="25" t="s">
        <x:v>714</x:v>
      </x:c>
      <x:c r="D72" s="31">
        <x:v>114258</x:v>
      </x:c>
      <x:c r="E72" s="32">
        <x:v>86.349435200000002</x:v>
      </x:c>
      <x:c r="F72" s="32">
        <x:v>26.741670299999999</x:v>
      </x:c>
      <x:c r="G72" s="25" t="s">
        <x:v>693</x:v>
      </x:c>
      <x:c r="H72" s="25">
        <x:v>4589471</x:v>
      </x:c>
      <x:c r="I72" s="22" t="s">
        <x:v>892</x:v>
      </x:c>
      <x:c r="J72" s="25" t="s">
        <x:v>893</x:v>
      </x:c>
    </x:row>
    <x:row r="73" ht="15" customHeight="1">
      <x:c r="A73" s="25" t="s">
        <x:v>894</x:v>
      </x:c>
      <x:c r="B73" s="31">
        <x:v>104851</x:v>
      </x:c>
      <x:c r="C73" s="25" t="s">
        <x:v>724</x:v>
      </x:c>
      <x:c r="D73" s="31">
        <x:v>169664</x:v>
      </x:c>
      <x:c r="E73" s="32">
        <x:v>86.781204299999999</x:v>
      </x:c>
      <x:c r="F73" s="32">
        <x:v>27.726253700000001</x:v>
      </x:c>
      <x:c r="G73" s="25" t="s">
        <x:v>693</x:v>
      </x:c>
      <x:c r="H73" s="25">
        <x:v>4589473</x:v>
      </x:c>
      <x:c r="I73" s="22" t="s">
        <x:v>895</x:v>
      </x:c>
      <x:c r="J73" s="25" t="s">
        <x:v>896</x:v>
      </x:c>
    </x:row>
    <x:row r="74" ht="15" customHeight="1">
      <x:c r="A74" s="25" t="s">
        <x:v>897</x:v>
      </x:c>
      <x:c r="B74" s="31">
        <x:v>926962</x:v>
      </x:c>
      <x:c r="C74" s="25" t="s">
        <x:v>724</x:v>
      </x:c>
      <x:c r="D74" s="31">
        <x:v>169664</x:v>
      </x:c>
      <x:c r="E74" s="32">
        <x:v>87.137848399999996</x:v>
      </x:c>
      <x:c r="F74" s="32">
        <x:v>26.6410141</x:v>
      </x:c>
      <x:c r="G74" s="25" t="s">
        <x:v>693</x:v>
      </x:c>
      <x:c r="H74" s="25">
        <x:v>4589472</x:v>
      </x:c>
      <x:c r="I74" s="22" t="s">
        <x:v>898</x:v>
      </x:c>
      <x:c r="J74" s="25" t="s">
        <x:v>899</x:v>
      </x:c>
    </x:row>
    <x:row r="75" ht="15" customHeight="1">
      <x:c r="A75" s="25" t="s">
        <x:v>581</x:v>
      </x:c>
      <x:c r="B75" s="31">
        <x:v>415126</x:v>
      </x:c>
      <x:c r="C75" s="25" t="s">
        <x:v>733</x:v>
      </x:c>
      <x:c r="D75" s="31">
        <x:v>130197</x:v>
      </x:c>
      <x:c r="E75" s="32">
        <x:v>81.513782500000005</x:v>
      </x:c>
      <x:c r="F75" s="32">
        <x:v>28.657381699999998</x:v>
      </x:c>
      <x:c r="G75" s="25" t="s">
        <x:v>693</x:v>
      </x:c>
      <x:c r="H75" s="25">
        <x:v>4586369</x:v>
      </x:c>
      <x:c r="I75" s="22" t="s">
        <x:v>900</x:v>
      </x:c>
      <x:c r="J75" s="25" t="s">
        <x:v>901</x:v>
      </x:c>
    </x:row>
    <x:row r="76" ht="15" customHeight="1">
      <x:c r="A76" s="25" t="s">
        <x:v>902</x:v>
      </x:c>
      <x:c r="B76" s="31">
        <x:v>253024</x:v>
      </x:c>
      <x:c r="C76" s="25" t="s">
        <x:v>700</x:v>
      </x:c>
      <x:c r="D76" s="31">
        <x:v>194800</x:v>
      </x:c>
      <x:c r="E76" s="32">
        <x:v>83.827669999999998</x:v>
      </x:c>
      <x:c r="F76" s="32">
        <x:v>28.0445533</x:v>
      </x:c>
      <x:c r="G76" s="25" t="s">
        <x:v>693</x:v>
      </x:c>
      <x:c r="H76" s="25">
        <x:v>5691338</x:v>
      </x:c>
      <x:c r="I76" s="22" t="s">
        <x:v>903</x:v>
      </x:c>
      <x:c r="J76" s="25" t="s">
        <x:v>904</x:v>
      </x:c>
    </x:row>
    <x:row r="77" ht="15" customHeight="1">
      <x:c r="A77" s="25" t="s">
        <x:v>905</x:v>
      </x:c>
      <x:c r="B77" s="31">
        <x:v>321153</x:v>
      </x:c>
      <x:c r="C77" s="25" t="s">
        <x:v>700</x:v>
      </x:c>
      <x:c r="D77" s="31">
        <x:v>194800</x:v>
      </x:c>
      <x:c r="E77" s="32">
        <x:v>84.223646000000002</x:v>
      </x:c>
      <x:c r="F77" s="32">
        <x:v>27.935507900000001</x:v>
      </x:c>
      <x:c r="G77" s="25" t="s">
        <x:v>693</x:v>
      </x:c>
      <x:c r="H77" s="25">
        <x:v>4588151</x:v>
      </x:c>
      <x:c r="I77" s="22" t="s">
        <x:v>906</x:v>
      </x:c>
      <x:c r="J77" s="25" t="s">
        <x:v>907</x:v>
      </x:c>
    </x:row>
    <x:row r="78" ht="15" customHeight="1">
      <x:c r="A78" s="25" t="s">
        <x:v>601</x:v>
      </x:c>
      <x:c r="B78" s="31">
        <x:v>120590</x:v>
      </x:c>
      <x:c r="C78" s="25" t="s">
        <x:v>724</x:v>
      </x:c>
      <x:c r="D78" s="31">
        <x:v>169664</x:v>
      </x:c>
      <x:c r="E78" s="32">
        <x:v>87.821372999999994</x:v>
      </x:c>
      <x:c r="F78" s="32">
        <x:v>27.610478000000001</x:v>
      </x:c>
      <x:c r="G78" s="25" t="s">
        <x:v>693</x:v>
      </x:c>
      <x:c r="H78" s="25">
        <x:v>4589478</x:v>
      </x:c>
      <x:c r="I78" s="22" t="s">
        <x:v>908</x:v>
      </x:c>
      <x:c r="J78" s="25" t="s">
        <x:v>909</x:v>
      </x:c>
    </x:row>
    <x:row r="79" ht="15" customHeight="1">
      <x:c r="A79" s="25" t="s">
        <x:v>910</x:v>
      </x:c>
      <x:c r="B79" s="31">
        <x:v>88731</x:v>
      </x:c>
      <x:c r="C79" s="25" t="s">
        <x:v>724</x:v>
      </x:c>
      <x:c r="D79" s="31">
        <x:v>169664</x:v>
      </x:c>
      <x:c r="E79" s="32">
        <x:v>87.524285599999999</x:v>
      </x:c>
      <x:c r="F79" s="32">
        <x:v>27.132671299999998</x:v>
      </x:c>
      <x:c r="G79" s="25" t="s">
        <x:v>693</x:v>
      </x:c>
      <x:c r="H79" s="25">
        <x:v>4589465</x:v>
      </x:c>
      <x:c r="I79" s="22" t="s">
        <x:v>911</x:v>
      </x:c>
      <x:c r="J79" s="25" t="s">
        <x:v>912</x:v>
      </x:c>
    </x:row>
    <x:row r="80" ht="15" customHeight="1">
      <x:c r="A80" s="25" t="s">
        <x:v>913</x:v>
      </x:c>
      <x:c r="B80" s="31">
        <x:v>340721</x:v>
      </x:c>
      <x:c r="C80" s="25" t="s">
        <x:v>724</x:v>
      </x:c>
      <x:c r="D80" s="31">
        <x:v>169664</x:v>
      </x:c>
      <x:c r="E80" s="32">
        <x:v>86.519695299999995</x:v>
      </x:c>
      <x:c r="F80" s="32">
        <x:v>26.932823599999999</x:v>
      </x:c>
      <x:c r="G80" s="25" t="s">
        <x:v>693</x:v>
      </x:c>
      <x:c r="H80" s="25">
        <x:v>4589462</x:v>
      </x:c>
      <x:c r="I80" s="22" t="s">
        <x:v>914</x:v>
      </x:c>
      <x:c r="J80" s="25" t="s">
        <x:v>915</x:v>
      </x:c>
    </x:row>
    <x:row r="81" ht="15" customHeight="1">
      <x:c r="A81" s="25" t="s">
        <x:v>916</x:v>
      </x:c>
      <x:c r="B81" s="31">
        <x:v>166740</x:v>
      </x:c>
      <x:c r="C81" s="25" t="s">
        <x:v>733</x:v>
      </x:c>
      <x:c r="D81" s="31">
        <x:v>130197</x:v>
      </x:c>
      <x:c r="E81" s="32">
        <x:v>82.428370099999995</x:v>
      </x:c>
      <x:c r="F81" s="32">
        <x:v>28.7565019</x:v>
      </x:c>
      <x:c r="G81" s="25" t="s">
        <x:v>693</x:v>
      </x:c>
      <x:c r="H81" s="25">
        <x:v>10493724</x:v>
      </x:c>
      <x:c r="I81" s="22" t="s">
        <x:v>917</x:v>
      </x:c>
      <x:c r="J81" s="25" t="s">
        <x:v>918</x:v>
      </x:c>
    </x:row>
    <x:row r="82" ht="15" customHeight="1">
      <x:c r="F82" s="5"/>
    </x:row>
    <x:row r="83" ht="15" customHeight="1">
      <x:c r="F83" s="5"/>
    </x:row>
    <x:row r="84" ht="15" customHeight="1">
      <x:c r="F84" s="5"/>
    </x:row>
    <x:row r="85" ht="15" customHeight="1">
      <x:c r="F85" s="5"/>
    </x:row>
    <x:row r="86" ht="15" customHeight="1">
      <x:c r="F86" s="5"/>
    </x:row>
    <x:row r="87" ht="15" customHeight="1">
      <x:c r="F87" s="5"/>
    </x:row>
    <x:row r="88" ht="15" customHeight="1">
      <x:c r="F88" s="5"/>
    </x:row>
    <x:row r="90" ht="30" customHeight="1">
      <x:c r="A90" s="34"/>
      <x:c r="B90" s="34"/>
      <x:c r="C90" s="34"/>
      <x:c r="D90" s="34"/>
      <x:c r="F90" s="5"/>
    </x:row>
  </x:sheetData>
  <x:mergeCells>
    <x:mergeCell ref="A1:I1"/>
    <x:mergeCell ref="A90:D90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5"/>
  <x:cols>
    <x:col min="1" max="2" width="13" style="5" customWidth="1"/>
    <x:col min="3" max="4" width="12" style="5" customWidth="1"/>
    <x:col min="5" max="5" width="21" style="5" customWidth="1"/>
    <x:col min="6" max="6" width="64" style="5" customWidth="1"/>
    <x:col min="7" max="7" width="12" style="5" customWidth="1"/>
    <x:col min="8" max="8" width="13" style="5" customWidth="1"/>
    <x:col min="9" max="9" width="14" style="5" customWidth="1"/>
    <x:col min="10" max="10" width="18" style="5" customWidth="1"/>
    <x:col min="11" max="11" width="30" style="5" customWidth="1"/>
    <x:col min="12" max="12" width="64" customWidth="1"/>
    <x:col min="13" max="13" width="12" style="5" hidden="1" customWidth="1"/>
  </x:cols>
  <x:sheetData>
    <x:row r="1" ht="16" customHeight="1">
      <x:c r="A1" s="28" t="s">
        <x:v>919</x:v>
      </x:c>
      <x:c r="B1" s="28" t="s">
        <x:v>920</x:v>
      </x:c>
      <x:c r="C1" s="28" t="s">
        <x:v>921</x:v>
      </x:c>
      <x:c r="D1" s="28" t="s">
        <x:v>922</x:v>
      </x:c>
      <x:c r="E1" s="28" t="s">
        <x:v>923</x:v>
      </x:c>
      <x:c r="F1" s="28" t="s">
        <x:v>924</x:v>
      </x:c>
      <x:c r="G1" s="28" t="s">
        <x:v>925</x:v>
      </x:c>
      <x:c r="H1" s="28" t="s">
        <x:v>926</x:v>
      </x:c>
      <x:c r="I1" s="28" t="s">
        <x:v>927</x:v>
      </x:c>
      <x:c r="J1" s="28" t="s">
        <x:v>928</x:v>
      </x:c>
      <x:c r="K1" s="28" t="s">
        <x:v>929</x:v>
      </x:c>
      <x:c r="L1" s="19" t="s">
        <x:v>930</x:v>
      </x:c>
      <x:c r="M1" s="28" t="s">
        <x:v>931</x:v>
      </x:c>
    </x:row>
    <x:row r="2" ht="16" customHeight="1">
      <x:c r="A2" s="29">
        <x:v>1</x:v>
      </x:c>
      <x:c r="B2" s="29" t="s">
        <x:v>558</x:v>
      </x:c>
      <x:c r="C2" s="29">
        <x:v>80.567017000000007</x:v>
      </x:c>
      <x:c r="D2" s="29">
        <x:v>28.703303999999999</x:v>
      </x:c>
      <x:c r="E2" s="29">
        <x:v>102000</x:v>
      </x:c>
      <x:c r="F2" s="29" t="str">
        <x:v>OpenStreetMap population tag</x:v>
      </x:c>
      <x:c r="G2" s="29" t="s">
        <x:v>932</x:v>
      </x:c>
      <x:c r="H2" s="29">
        <x:v>1492980542</x:v>
      </x:c>
      <x:c r="I2" s="29" t="s">
        <x:v>933</x:v>
      </x:c>
      <x:c r="J2" s="29" t="s">
        <x:v>934</x:v>
      </x:c>
      <x:c r="K2" s="29" t="s">
        <x:v>935</x:v>
      </x:c>
      <x:c r="L2" s="20" t="s">
        <x:v>936</x:v>
      </x:c>
      <x:c r="M2" s="29" t="s">
        <x:v>58</x:v>
      </x:c>
    </x:row>
    <x:row r="3" ht="16" customHeight="1">
      <x:c r="A3" s="29">
        <x:v>2</x:v>
      </x:c>
      <x:c r="B3" s="29" t="s">
        <x:v>625</x:v>
      </x:c>
      <x:c r="C3" s="29">
        <x:v>80.588663800000006</x:v>
      </x:c>
      <x:c r="D3" s="29">
        <x:v>29.301537700000001</x:v>
      </x:c>
      <x:c r="E3" s="29">
        <x:v>139602</x:v>
      </x:c>
      <x:c r="F3" s="29" t="str">
        <x:v>15_Population_GDP exact-name administrative/city value</x:v>
      </x:c>
      <x:c r="G3" s="29" t="s">
        <x:v>932</x:v>
      </x:c>
      <x:c r="H3" s="29">
        <x:v>2406229072</x:v>
      </x:c>
      <x:c r="I3" s="29" t="s">
        <x:v>933</x:v>
      </x:c>
      <x:c r="J3" s="29" t="s">
        <x:v>937</x:v>
      </x:c>
      <x:c r="K3" s="29" t="s">
        <x:v>938</x:v>
      </x:c>
      <x:c r="L3" s="20" t="s">
        <x:v>939</x:v>
      </x:c>
      <x:c r="M3" s="29" t="s">
        <x:v>58</x:v>
      </x:c>
    </x:row>
    <x:row r="4" ht="16" customHeight="1">
      <x:c r="A4" s="29">
        <x:v>3</x:v>
      </x:c>
      <x:c r="B4" s="29" t="s">
        <x:v>538</x:v>
      </x:c>
      <x:c r="C4" s="29">
        <x:v>81.625846999999993</x:v>
      </x:c>
      <x:c r="D4" s="29">
        <x:v>28.058903000000001</x:v>
      </x:c>
      <x:c r="E4" s="29">
        <x:v>166258</x:v>
      </x:c>
      <x:c r="F4" s="29" t="str">
        <x:v>OpenStreetMap population tag</x:v>
      </x:c>
      <x:c r="G4" s="29" t="s">
        <x:v>932</x:v>
      </x:c>
      <x:c r="H4" s="29">
        <x:v>282864466</x:v>
      </x:c>
      <x:c r="I4" s="29" t="s">
        <x:v>933</x:v>
      </x:c>
      <x:c r="J4" s="29" t="s">
        <x:v>934</x:v>
      </x:c>
      <x:c r="K4" s="29" t="s">
        <x:v>940</x:v>
      </x:c>
      <x:c r="L4" s="20" t="s">
        <x:v>941</x:v>
      </x:c>
      <x:c r="M4" s="29" t="s">
        <x:v>58</x:v>
      </x:c>
    </x:row>
    <x:row r="5" ht="16" customHeight="1">
      <x:c r="A5" s="29">
        <x:v>4</x:v>
      </x:c>
      <x:c r="B5" s="29" t="s">
        <x:v>611</x:v>
      </x:c>
      <x:c r="C5" s="29">
        <x:v>82.183269899999999</x:v>
      </x:c>
      <x:c r="D5" s="29">
        <x:v>29.274949199999998</x:v>
      </x:c>
      <x:c r="E5" s="29">
        <x:v>118349</x:v>
      </x:c>
      <x:c r="F5" s="29" t="str">
        <x:v>15_Population_GDP exact-name administrative/city value</x:v>
      </x:c>
      <x:c r="G5" s="29" t="s">
        <x:v>932</x:v>
      </x:c>
      <x:c r="H5" s="29">
        <x:v>8157956930</x:v>
      </x:c>
      <x:c r="I5" s="29" t="s">
        <x:v>933</x:v>
      </x:c>
      <x:c r="J5" s="29" t="s">
        <x:v>937</x:v>
      </x:c>
      <x:c r="K5" s="29" t="s">
        <x:v>942</x:v>
      </x:c>
      <x:c r="L5" s="20" t="s">
        <x:v>943</x:v>
      </x:c>
      <x:c r="M5" s="29" t="s">
        <x:v>58</x:v>
      </x:c>
    </x:row>
    <x:row r="6" ht="16" customHeight="1">
      <x:c r="A6" s="29">
        <x:v>5</x:v>
      </x:c>
      <x:c r="B6" s="29" t="s">
        <x:v>631</x:v>
      </x:c>
      <x:c r="C6" s="29">
        <x:v>81.612609000000006</x:v>
      </x:c>
      <x:c r="D6" s="29">
        <x:v>29.1503646</x:v>
      </x:c>
      <x:c r="E6" s="29">
        <x:v>145292</x:v>
      </x:c>
      <x:c r="F6" s="29" t="str">
        <x:v>15_Population_GDP exact-name administrative/city value</x:v>
      </x:c>
      <x:c r="G6" s="29" t="s">
        <x:v>932</x:v>
      </x:c>
      <x:c r="H6" s="29">
        <x:v>8309132733</x:v>
      </x:c>
      <x:c r="I6" s="29" t="s">
        <x:v>933</x:v>
      </x:c>
      <x:c r="J6" s="29" t="s">
        <x:v>937</x:v>
      </x:c>
      <x:c r="K6" s="29" t="s">
        <x:v>944</x:v>
      </x:c>
      <x:c r="L6" s="20" t="s">
        <x:v>945</x:v>
      </x:c>
      <x:c r="M6" s="29" t="s">
        <x:v>58</x:v>
      </x:c>
    </x:row>
    <x:row r="7" ht="16" customHeight="1">
      <x:c r="A7" s="29">
        <x:v>6</x:v>
      </x:c>
      <x:c r="B7" s="29" t="s">
        <x:v>946</x:v>
      </x:c>
      <x:c r="C7" s="29">
        <x:v>83.465766700000003</x:v>
      </x:c>
      <x:c r="D7" s="29">
        <x:v>27.7003986</x:v>
      </x:c>
      <x:c r="E7" s="29">
        <x:v>195054</x:v>
      </x:c>
      <x:c r="F7" s="29" t="str">
        <x:v>OpenStreetMap population tag</x:v>
      </x:c>
      <x:c r="G7" s="29" t="s">
        <x:v>932</x:v>
      </x:c>
      <x:c r="H7" s="29">
        <x:v>3172617940</x:v>
      </x:c>
      <x:c r="I7" s="29" t="s">
        <x:v>933</x:v>
      </x:c>
      <x:c r="J7" s="29" t="s">
        <x:v>934</x:v>
      </x:c>
      <x:c r="K7" s="29" t="s">
        <x:v>947</x:v>
      </x:c>
      <x:c r="L7" s="20" t="s">
        <x:v>948</x:v>
      </x:c>
      <x:c r="M7" s="29" t="s">
        <x:v>58</x:v>
      </x:c>
    </x:row>
    <x:row r="8" ht="32" customHeight="1">
      <x:c r="A8" s="29">
        <x:v>7</x:v>
      </x:c>
      <x:c r="B8" s="29" t="s">
        <x:v>556</x:v>
      </x:c>
      <x:c r="C8" s="29">
        <x:v>83.453288999999998</x:v>
      </x:c>
      <x:c r="D8" s="29">
        <x:v>27.510622600000001</x:v>
      </x:c>
      <x:c r="E8" s="29">
        <x:v>60000</x:v>
      </x:c>
      <x:c r="F8" s="29" t="str">
        <x:v>Planning reference value; update when measured city activity data are available.</x:v>
      </x:c>
      <x:c r="G8" s="29" t="s">
        <x:v>949</x:v>
      </x:c>
      <x:c r="H8" s="29">
        <x:v>404138353</x:v>
      </x:c>
      <x:c r="I8" s="29" t="s">
        <x:v>950</x:v>
      </x:c>
      <x:c r="J8" s="29" t="s">
        <x:v>951</x:v>
      </x:c>
      <x:c r="K8" s="29" t="s">
        <x:v>952</x:v>
      </x:c>
      <x:c r="L8" s="20" t="s">
        <x:v>953</x:v>
      </x:c>
      <x:c r="M8" s="29" t="s">
        <x:v>58</x:v>
      </x:c>
    </x:row>
    <x:row r="9" ht="30" customHeight="1">
      <x:c r="A9" s="29">
        <x:v>8</x:v>
      </x:c>
      <x:c r="B9" s="29" t="s">
        <x:v>637</x:v>
      </x:c>
      <x:c r="C9" s="29">
        <x:v>83.546908400000007</x:v>
      </x:c>
      <x:c r="D9" s="29">
        <x:v>27.866365999999999</x:v>
      </x:c>
      <x:c r="E9" s="29">
        <x:v>22000</x:v>
      </x:c>
      <x:c r="F9" s="29" t="str">
        <x:v>Planning reference value; update when measured city activity data are available.</x:v>
      </x:c>
      <x:c r="G9" s="29" t="s">
        <x:v>932</x:v>
      </x:c>
      <x:c r="H9" s="29">
        <x:v>296197839</x:v>
      </x:c>
      <x:c r="I9" s="29" t="s">
        <x:v>933</x:v>
      </x:c>
      <x:c r="J9" s="29" t="s">
        <x:v>937</x:v>
      </x:c>
      <x:c r="K9" s="29" t="s">
        <x:v>954</x:v>
      </x:c>
      <x:c r="L9" s="20" t="s">
        <x:v>955</x:v>
      </x:c>
      <x:c r="M9" s="29" t="s">
        <x:v>58</x:v>
      </x:c>
    </x:row>
    <x:row r="10" ht="16" customHeight="1">
      <x:c r="A10" s="29">
        <x:v>9</x:v>
      </x:c>
      <x:c r="B10" s="29" t="s">
        <x:v>956</x:v>
      </x:c>
      <x:c r="C10" s="29">
        <x:v>83.991401999999994</x:v>
      </x:c>
      <x:c r="D10" s="29">
        <x:v>28.209537999999998</x:v>
      </x:c>
      <x:c r="E10" s="29">
        <x:v>500000</x:v>
      </x:c>
      <x:c r="F10" s="29" t="str">
        <x:v>OpenStreetMap population tag</x:v>
      </x:c>
      <x:c r="G10" s="29" t="s">
        <x:v>693</x:v>
      </x:c>
      <x:c r="H10" s="29">
        <x:v>6104486</x:v>
      </x:c>
      <x:c r="I10" s="29" t="s">
        <x:v>957</x:v>
      </x:c>
      <x:c r="J10" s="29" t="s">
        <x:v>958</x:v>
      </x:c>
      <x:c r="K10" s="29" t="s">
        <x:v>959</x:v>
      </x:c>
      <x:c r="L10" s="20" t="s">
        <x:v>960</x:v>
      </x:c>
      <x:c r="M10" s="29" t="s">
        <x:v>58</x:v>
      </x:c>
    </x:row>
    <x:row r="11" ht="16" customHeight="1">
      <x:c r="A11" s="29">
        <x:v>10</x:v>
      </x:c>
      <x:c r="B11" s="29" t="s">
        <x:v>902</x:v>
      </x:c>
      <x:c r="C11" s="29">
        <x:v>83.874728500000003</x:v>
      </x:c>
      <x:c r="D11" s="29">
        <x:v>28.098000899999999</x:v>
      </x:c>
      <x:c r="E11" s="29">
        <x:v>253024</x:v>
      </x:c>
      <x:c r="F11" s="29" t="str">
        <x:v>15_Population_GDP exact-name administrative/city value</x:v>
      </x:c>
      <x:c r="G11" s="29" t="s">
        <x:v>932</x:v>
      </x:c>
      <x:c r="H11" s="29">
        <x:v>3957677257</x:v>
      </x:c>
      <x:c r="I11" s="29" t="s">
        <x:v>933</x:v>
      </x:c>
      <x:c r="J11" s="29" t="s">
        <x:v>937</x:v>
      </x:c>
      <x:c r="K11" s="29" t="s">
        <x:v>961</x:v>
      </x:c>
      <x:c r="L11" s="20" t="s">
        <x:v>962</x:v>
      </x:c>
      <x:c r="M11" s="29" t="s">
        <x:v>58</x:v>
      </x:c>
    </x:row>
    <x:row r="12" ht="16" customHeight="1">
      <x:c r="A12" s="29">
        <x:v>11</x:v>
      </x:c>
      <x:c r="B12" s="29" t="s">
        <x:v>635</x:v>
      </x:c>
      <x:c r="C12" s="29">
        <x:v>84.840758300000005</x:v>
      </x:c>
      <x:c r="D12" s="29">
        <x:v>28.270836800000001</x:v>
      </x:c>
      <x:c r="E12" s="29">
        <x:v>251027</x:v>
      </x:c>
      <x:c r="F12" s="29" t="str">
        <x:v>15_Population_GDP exact-name administrative/city value</x:v>
      </x:c>
      <x:c r="G12" s="29" t="s">
        <x:v>693</x:v>
      </x:c>
      <x:c r="H12" s="29">
        <x:v>4588150</x:v>
      </x:c>
      <x:c r="I12" s="29" t="s">
        <x:v>957</x:v>
      </x:c>
      <x:c r="J12" s="29" t="s">
        <x:v>958</x:v>
      </x:c>
      <x:c r="K12" s="29" t="s">
        <x:v>963</x:v>
      </x:c>
      <x:c r="L12" s="20" t="s">
        <x:v>763</x:v>
      </x:c>
      <x:c r="M12" s="29" t="s">
        <x:v>58</x:v>
      </x:c>
    </x:row>
    <x:row r="13" ht="32" customHeight="1">
      <x:c r="A13" s="29">
        <x:v>12</x:v>
      </x:c>
      <x:c r="B13" s="29" t="s">
        <x:v>964</x:v>
      </x:c>
      <x:c r="C13" s="29">
        <x:v>84.563145199999994</x:v>
      </x:c>
      <x:c r="D13" s="29">
        <x:v>27.857515800000002</x:v>
      </x:c>
      <x:c r="E13" s="29">
        <x:v>18000</x:v>
      </x:c>
      <x:c r="F13" s="29" t="str">
        <x:v>Planning reference value; update when measured city activity data are available.</x:v>
      </x:c>
      <x:c r="G13" s="29" t="s">
        <x:v>932</x:v>
      </x:c>
      <x:c r="H13" s="29">
        <x:v>5416391922</x:v>
      </x:c>
      <x:c r="I13" s="29" t="s">
        <x:v>965</x:v>
      </x:c>
      <x:c r="J13" s="29" t="s">
        <x:v>966</x:v>
      </x:c>
      <x:c r="K13" s="29" t="s">
        <x:v>967</x:v>
      </x:c>
      <x:c r="L13" s="20" t="s">
        <x:v>968</x:v>
      </x:c>
      <x:c r="M13" s="29" t="s">
        <x:v>58</x:v>
      </x:c>
    </x:row>
    <x:row r="14" ht="16" customHeight="1">
      <x:c r="A14" s="29">
        <x:v>13</x:v>
      </x:c>
      <x:c r="B14" s="29" t="s">
        <x:v>576</x:v>
      </x:c>
      <x:c r="C14" s="29">
        <x:v>84.430165200000005</x:v>
      </x:c>
      <x:c r="D14" s="29">
        <x:v>27.6811896</x:v>
      </x:c>
      <x:c r="E14" s="29">
        <x:v>369268</x:v>
      </x:c>
      <x:c r="F14" s="29" t="str">
        <x:v>OpenStreetMap population tag</x:v>
      </x:c>
      <x:c r="G14" s="29" t="s">
        <x:v>932</x:v>
      </x:c>
      <x:c r="H14" s="29">
        <x:v>567090203</x:v>
      </x:c>
      <x:c r="I14" s="29" t="s">
        <x:v>933</x:v>
      </x:c>
      <x:c r="J14" s="29" t="s">
        <x:v>934</x:v>
      </x:c>
      <x:c r="K14" s="29" t="s">
        <x:v>969</x:v>
      </x:c>
      <x:c r="L14" s="20" t="s">
        <x:v>970</x:v>
      </x:c>
      <x:c r="M14" s="29" t="s">
        <x:v>58</x:v>
      </x:c>
    </x:row>
    <x:row r="15" ht="30" customHeight="1">
      <x:c r="A15" s="29">
        <x:v>14</x:v>
      </x:c>
      <x:c r="B15" s="29" t="s">
        <x:v>971</x:v>
      </x:c>
      <x:c r="C15" s="29">
        <x:v>85.032658600000005</x:v>
      </x:c>
      <x:c r="D15" s="29">
        <x:v>27.429585299999999</x:v>
      </x:c>
      <x:c r="E15" s="29">
        <x:v>130000</x:v>
      </x:c>
      <x:c r="F15" s="29" t="str">
        <x:v>Planning reference value; update when measured city activity data are available.</x:v>
      </x:c>
      <x:c r="G15" s="29" t="s">
        <x:v>932</x:v>
      </x:c>
      <x:c r="H15" s="29">
        <x:v>296306218</x:v>
      </x:c>
      <x:c r="I15" s="29" t="s">
        <x:v>933</x:v>
      </x:c>
      <x:c r="J15" s="29" t="s">
        <x:v>934</x:v>
      </x:c>
      <x:c r="K15" s="29" t="s">
        <x:v>972</x:v>
      </x:c>
      <x:c r="L15" s="20" t="s">
        <x:v>973</x:v>
      </x:c>
      <x:c r="M15" s="29" t="s">
        <x:v>58</x:v>
      </x:c>
    </x:row>
    <x:row r="16" ht="16" customHeight="1">
      <x:c r="A16" s="29">
        <x:v>15</x:v>
      </x:c>
      <x:c r="B16" s="29" t="s">
        <x:v>536</x:v>
      </x:c>
      <x:c r="C16" s="29">
        <x:v>84.876380400000002</x:v>
      </x:c>
      <x:c r="D16" s="29">
        <x:v>27.013519599999999</x:v>
      </x:c>
      <x:c r="E16" s="29">
        <x:v>135904</x:v>
      </x:c>
      <x:c r="F16" s="29" t="str">
        <x:v>OpenStreetMap population tag</x:v>
      </x:c>
      <x:c r="G16" s="29" t="s">
        <x:v>932</x:v>
      </x:c>
      <x:c r="H16" s="29">
        <x:v>575866576</x:v>
      </x:c>
      <x:c r="I16" s="29" t="s">
        <x:v>933</x:v>
      </x:c>
      <x:c r="J16" s="29" t="s">
        <x:v>934</x:v>
      </x:c>
      <x:c r="K16" s="29" t="s">
        <x:v>974</x:v>
      </x:c>
      <x:c r="L16" s="20" t="s">
        <x:v>975</x:v>
      </x:c>
      <x:c r="M16" s="29" t="s">
        <x:v>58</x:v>
      </x:c>
    </x:row>
    <x:row r="17" ht="32" customHeight="1">
      <x:c r="A17" s="29">
        <x:v>16</x:v>
      </x:c>
      <x:c r="B17" s="29" t="s">
        <x:v>559</x:v>
      </x:c>
      <x:c r="C17" s="29">
        <x:v>84.976579400000006</x:v>
      </x:c>
      <x:c r="D17" s="29">
        <x:v>27.1604122</x:v>
      </x:c>
      <x:c r="E17" s="29">
        <x:v>40000</x:v>
      </x:c>
      <x:c r="F17" s="29" t="str">
        <x:v>Planning reference value; update when measured city activity data are available.</x:v>
      </x:c>
      <x:c r="G17" s="29" t="s">
        <x:v>932</x:v>
      </x:c>
      <x:c r="H17" s="29">
        <x:v>2199680143</x:v>
      </x:c>
      <x:c r="I17" s="29" t="s">
        <x:v>933</x:v>
      </x:c>
      <x:c r="J17" s="29" t="s">
        <x:v>934</x:v>
      </x:c>
      <x:c r="K17" s="29" t="s">
        <x:v>976</x:v>
      </x:c>
      <x:c r="L17" s="20" t="s">
        <x:v>977</x:v>
      </x:c>
      <x:c r="M17" s="29" t="s">
        <x:v>58</x:v>
      </x:c>
    </x:row>
    <x:row r="18" ht="30" customHeight="1">
      <x:c r="A18" s="29">
        <x:v>17</x:v>
      </x:c>
      <x:c r="B18" s="29" t="s">
        <x:v>978</x:v>
      </x:c>
      <x:c r="C18" s="29">
        <x:v>85.629970099999994</x:v>
      </x:c>
      <x:c r="D18" s="29">
        <x:v>27.053436099999999</x:v>
      </x:c>
      <x:c r="E18" s="29">
        <x:v>30000</x:v>
      </x:c>
      <x:c r="F18" s="29" t="str">
        <x:v>Planning reference value; update when measured city activity data are available.</x:v>
      </x:c>
      <x:c r="G18" s="29" t="s">
        <x:v>932</x:v>
      </x:c>
      <x:c r="H18" s="29">
        <x:v>5672124061</x:v>
      </x:c>
      <x:c r="I18" s="29" t="s">
        <x:v>933</x:v>
      </x:c>
      <x:c r="J18" s="29" t="s">
        <x:v>937</x:v>
      </x:c>
      <x:c r="K18" s="29" t="s">
        <x:v>979</x:v>
      </x:c>
      <x:c r="L18" s="20" t="s">
        <x:v>980</x:v>
      </x:c>
      <x:c r="M18" s="29" t="s">
        <x:v>58</x:v>
      </x:c>
    </x:row>
    <x:row r="19" ht="30" customHeight="1">
      <x:c r="A19" s="29">
        <x:v>18</x:v>
      </x:c>
      <x:c r="B19" s="29" t="s">
        <x:v>981</x:v>
      </x:c>
      <x:c r="C19" s="29">
        <x:v>85.893314200000006</x:v>
      </x:c>
      <x:c r="D19" s="29">
        <x:v>26.990444199999999</x:v>
      </x:c>
      <x:c r="E19" s="29">
        <x:v>38000</x:v>
      </x:c>
      <x:c r="F19" s="29" t="str">
        <x:v>Planning reference value; update when measured city activity data are available.</x:v>
      </x:c>
      <x:c r="G19" s="29" t="s">
        <x:v>932</x:v>
      </x:c>
      <x:c r="H19" s="29">
        <x:v>5672065541</x:v>
      </x:c>
      <x:c r="I19" s="29" t="s">
        <x:v>933</x:v>
      </x:c>
      <x:c r="J19" s="29" t="s">
        <x:v>937</x:v>
      </x:c>
      <x:c r="K19" s="29" t="s">
        <x:v>982</x:v>
      </x:c>
      <x:c r="L19" s="20" t="s">
        <x:v>983</x:v>
      </x:c>
      <x:c r="M19" s="29" t="s">
        <x:v>58</x:v>
      </x:c>
    </x:row>
    <x:row r="20" ht="32" customHeight="1">
      <x:c r="A20" s="29">
        <x:v>19</x:v>
      </x:c>
      <x:c r="B20" s="29" t="s">
        <x:v>984</x:v>
      </x:c>
      <x:c r="C20" s="29">
        <x:v>85.151751200000007</x:v>
      </x:c>
      <x:c r="D20" s="29">
        <x:v>27.717097200000001</x:v>
      </x:c>
      <x:c r="E20" s="29">
        <x:v>6000</x:v>
      </x:c>
      <x:c r="F20" s="29" t="str">
        <x:v>Planning reference value; update when measured city activity data are available.</x:v>
      </x:c>
      <x:c r="G20" s="29" t="s">
        <x:v>932</x:v>
      </x:c>
      <x:c r="H20" s="29">
        <x:v>567076250</x:v>
      </x:c>
      <x:c r="I20" s="29" t="s">
        <x:v>933</x:v>
      </x:c>
      <x:c r="J20" s="29" t="s">
        <x:v>985</x:v>
      </x:c>
      <x:c r="K20" s="29" t="s">
        <x:v>986</x:v>
      </x:c>
      <x:c r="L20" s="20" t="s">
        <x:v>987</x:v>
      </x:c>
      <x:c r="M20" s="29" t="s">
        <x:v>58</x:v>
      </x:c>
    </x:row>
    <x:row r="21" ht="16" customHeight="1">
      <x:c r="A21" s="29">
        <x:v>20</x:v>
      </x:c>
      <x:c r="B21" s="29" t="s">
        <x:v>796</x:v>
      </x:c>
      <x:c r="C21" s="29">
        <x:v>85.320581700000005</x:v>
      </x:c>
      <x:c r="D21" s="29">
        <x:v>27.708317000000001</x:v>
      </x:c>
      <x:c r="E21" s="29">
        <x:v>2041587</x:v>
      </x:c>
      <x:c r="F21" s="29" t="str">
        <x:v>15_Population_GDP exact-name administrative/city value</x:v>
      </x:c>
      <x:c r="G21" s="29" t="s">
        <x:v>693</x:v>
      </x:c>
      <x:c r="H21" s="29">
        <x:v>12394677</x:v>
      </x:c>
      <x:c r="I21" s="29" t="s">
        <x:v>957</x:v>
      </x:c>
      <x:c r="J21" s="29" t="s">
        <x:v>958</x:v>
      </x:c>
      <x:c r="K21" s="29" t="s">
        <x:v>988</x:v>
      </x:c>
      <x:c r="L21" s="20" t="s">
        <x:v>797</x:v>
      </x:c>
      <x:c r="M21" s="29" t="s">
        <x:v>58</x:v>
      </x:c>
    </x:row>
    <x:row r="22" ht="30" customHeight="1">
      <x:c r="A22" s="29">
        <x:v>21</x:v>
      </x:c>
      <x:c r="B22" s="29" t="s">
        <x:v>989</x:v>
      </x:c>
      <x:c r="C22" s="29">
        <x:v>85.552916999999994</x:v>
      </x:c>
      <x:c r="D22" s="29">
        <x:v>27.618921</x:v>
      </x:c>
      <x:c r="E22" s="29">
        <x:v>20000</x:v>
      </x:c>
      <x:c r="F22" s="29" t="str">
        <x:v>Planning reference value; update when measured city activity data are available.</x:v>
      </x:c>
      <x:c r="G22" s="29" t="s">
        <x:v>932</x:v>
      </x:c>
      <x:c r="H22" s="29">
        <x:v>1833834697</x:v>
      </x:c>
      <x:c r="I22" s="29" t="s">
        <x:v>933</x:v>
      </x:c>
      <x:c r="J22" s="29" t="s">
        <x:v>934</x:v>
      </x:c>
      <x:c r="K22" s="29" t="s">
        <x:v>990</x:v>
      </x:c>
      <x:c r="L22" s="20" t="s">
        <x:v>991</x:v>
      </x:c>
      <x:c r="M22" s="29" t="s">
        <x:v>58</x:v>
      </x:c>
    </x:row>
    <x:row r="23" ht="30" customHeight="1">
      <x:c r="A23" s="29">
        <x:v>22</x:v>
      </x:c>
      <x:c r="B23" s="29" t="s">
        <x:v>992</x:v>
      </x:c>
      <x:c r="C23" s="29">
        <x:v>85.993643800000001</x:v>
      </x:c>
      <x:c r="D23" s="29">
        <x:v>27.330670399999999</x:v>
      </x:c>
      <x:c r="E23" s="29">
        <x:v>5000</x:v>
      </x:c>
      <x:c r="F23" s="29" t="str">
        <x:v>Planning reference value; update when measured city activity data are available.</x:v>
      </x:c>
      <x:c r="G23" s="29" t="s">
        <x:v>932</x:v>
      </x:c>
      <x:c r="H23" s="29">
        <x:v>3383548156</x:v>
      </x:c>
      <x:c r="I23" s="29" t="s">
        <x:v>933</x:v>
      </x:c>
      <x:c r="J23" s="29" t="s">
        <x:v>993</x:v>
      </x:c>
      <x:c r="K23" s="29" t="s">
        <x:v>994</x:v>
      </x:c>
      <x:c r="L23" s="20" t="s">
        <x:v>995</x:v>
      </x:c>
      <x:c r="M23" s="29" t="s">
        <x:v>58</x:v>
      </x:c>
    </x:row>
    <x:row r="24" ht="16" customHeight="1">
      <x:c r="A24" s="29">
        <x:v>23</x:v>
      </x:c>
      <x:c r="B24" s="29" t="s">
        <x:v>532</x:v>
      </x:c>
      <x:c r="C24" s="29">
        <x:v>85.924900500000007</x:v>
      </x:c>
      <x:c r="D24" s="29">
        <x:v>26.7284541</x:v>
      </x:c>
      <x:c r="E24" s="29">
        <x:v>95000</x:v>
      </x:c>
      <x:c r="F24" s="29" t="str">
        <x:v>OpenStreetMap population tag</x:v>
      </x:c>
      <x:c r="G24" s="29" t="s">
        <x:v>932</x:v>
      </x:c>
      <x:c r="H24" s="29">
        <x:v>806482934</x:v>
      </x:c>
      <x:c r="I24" s="29" t="s">
        <x:v>933</x:v>
      </x:c>
      <x:c r="J24" s="29" t="s">
        <x:v>934</x:v>
      </x:c>
      <x:c r="K24" s="29" t="s">
        <x:v>996</x:v>
      </x:c>
      <x:c r="L24" s="20" t="s">
        <x:v>997</x:v>
      </x:c>
      <x:c r="M24" s="29" t="s">
        <x:v>58</x:v>
      </x:c>
    </x:row>
    <x:row r="25" ht="16" customHeight="1">
      <x:c r="A25" s="29">
        <x:v>24</x:v>
      </x:c>
      <x:c r="B25" s="29" t="s">
        <x:v>998</x:v>
      </x:c>
      <x:c r="C25" s="29">
        <x:v>86.698241999999993</x:v>
      </x:c>
      <x:c r="D25" s="29">
        <x:v>26.791191000000001</x:v>
      </x:c>
      <x:c r="E25" s="29">
        <x:v>70000</x:v>
      </x:c>
      <x:c r="F25" s="29" t="str">
        <x:v>OpenStreetMap population tag</x:v>
      </x:c>
      <x:c r="G25" s="29" t="s">
        <x:v>693</x:v>
      </x:c>
      <x:c r="H25" s="29">
        <x:v>10414310</x:v>
      </x:c>
      <x:c r="I25" s="29" t="s">
        <x:v>957</x:v>
      </x:c>
      <x:c r="J25" s="29" t="s">
        <x:v>958</x:v>
      </x:c>
      <x:c r="K25" s="29" t="s">
        <x:v>999</x:v>
      </x:c>
      <x:c r="L25" s="20" t="s">
        <x:v>1000</x:v>
      </x:c>
      <x:c r="M25" s="29" t="s">
        <x:v>58</x:v>
      </x:c>
    </x:row>
    <x:row r="26" ht="30" customHeight="1">
      <x:c r="A26" s="29">
        <x:v>25</x:v>
      </x:c>
      <x:c r="B26" s="29" t="s">
        <x:v>1001</x:v>
      </x:c>
      <x:c r="C26" s="29">
        <x:v>87.274896400000003</x:v>
      </x:c>
      <x:c r="D26" s="29">
        <x:v>26.662250499999999</x:v>
      </x:c>
      <x:c r="E26" s="29">
        <x:v>198000</x:v>
      </x:c>
      <x:c r="F26" s="29" t="str">
        <x:v>Planning reference value; update when measured city activity data are available.</x:v>
      </x:c>
      <x:c r="G26" s="29" t="s">
        <x:v>693</x:v>
      </x:c>
      <x:c r="H26" s="29">
        <x:v>12379916</x:v>
      </x:c>
      <x:c r="I26" s="29" t="s">
        <x:v>957</x:v>
      </x:c>
      <x:c r="J26" s="29" t="s">
        <x:v>958</x:v>
      </x:c>
      <x:c r="K26" s="29" t="s">
        <x:v>1002</x:v>
      </x:c>
      <x:c r="L26" s="20" t="s">
        <x:v>1003</x:v>
      </x:c>
      <x:c r="M26" s="29" t="s">
        <x:v>58</x:v>
      </x:c>
    </x:row>
    <x:row r="27" ht="16" customHeight="1">
      <x:c r="A27" s="29">
        <x:v>26</x:v>
      </x:c>
      <x:c r="B27" s="29" t="s">
        <x:v>555</x:v>
      </x:c>
      <x:c r="C27" s="29">
        <x:v>87.281616999999997</x:v>
      </x:c>
      <x:c r="D27" s="29">
        <x:v>26.4623007</x:v>
      </x:c>
      <x:c r="E27" s="29">
        <x:v>166674</x:v>
      </x:c>
      <x:c r="F27" s="29" t="str">
        <x:v>OpenStreetMap population tag</x:v>
      </x:c>
      <x:c r="G27" s="29" t="s">
        <x:v>693</x:v>
      </x:c>
      <x:c r="H27" s="29">
        <x:v>10433476</x:v>
      </x:c>
      <x:c r="I27" s="29" t="s">
        <x:v>957</x:v>
      </x:c>
      <x:c r="J27" s="29" t="s">
        <x:v>958</x:v>
      </x:c>
      <x:c r="K27" s="29" t="s">
        <x:v>1004</x:v>
      </x:c>
      <x:c r="L27" s="20" t="s">
        <x:v>1005</x:v>
      </x:c>
      <x:c r="M27" s="29" t="s">
        <x:v>58</x:v>
      </x:c>
    </x:row>
    <x:row r="28" ht="30" customHeight="1">
      <x:c r="A28" s="29">
        <x:v>27</x:v>
      </x:c>
      <x:c r="B28" s="29" t="s">
        <x:v>1006</x:v>
      </x:c>
      <x:c r="C28" s="29">
        <x:v>87.992479299999999</x:v>
      </x:c>
      <x:c r="D28" s="29">
        <x:v>26.637006499999998</x:v>
      </x:c>
      <x:c r="E28" s="29">
        <x:v>55000</x:v>
      </x:c>
      <x:c r="F28" s="29" t="str">
        <x:v>Planning reference value; update when measured city activity data are available.</x:v>
      </x:c>
      <x:c r="G28" s="29" t="s">
        <x:v>949</x:v>
      </x:c>
      <x:c r="H28" s="29">
        <x:v>500368996</x:v>
      </x:c>
      <x:c r="I28" s="29" t="s">
        <x:v>933</x:v>
      </x:c>
      <x:c r="J28" s="29" t="s">
        <x:v>937</x:v>
      </x:c>
      <x:c r="K28" s="29" t="s">
        <x:v>1007</x:v>
      </x:c>
      <x:c r="L28" s="20" t="s">
        <x:v>1008</x:v>
      </x:c>
      <x:c r="M28" s="29" t="s">
        <x:v>58</x:v>
      </x:c>
    </x:row>
    <x:row r="29" ht="32" customHeight="1">
      <x:c r="A29" s="29">
        <x:v>28</x:v>
      </x:c>
      <x:c r="B29" s="29" t="s">
        <x:v>557</x:v>
      </x:c>
      <x:c r="C29" s="29">
        <x:v>88.155886600000002</x:v>
      </x:c>
      <x:c r="D29" s="29">
        <x:v>26.647785599999999</x:v>
      </x:c>
      <x:c r="E29" s="29">
        <x:v>78000</x:v>
      </x:c>
      <x:c r="F29" s="29" t="str">
        <x:v>Planning reference value; update when measured city activity data are available.</x:v>
      </x:c>
      <x:c r="G29" s="29" t="s">
        <x:v>932</x:v>
      </x:c>
      <x:c r="H29" s="29">
        <x:v>4618013392</x:v>
      </x:c>
      <x:c r="I29" s="29" t="s">
        <x:v>965</x:v>
      </x:c>
      <x:c r="J29" s="29" t="s">
        <x:v>1009</x:v>
      </x:c>
      <x:c r="K29" s="29" t="s">
        <x:v>1010</x:v>
      </x:c>
      <x:c r="L29" s="20" t="s">
        <x:v>1011</x:v>
      </x:c>
      <x:c r="M29" s="29" t="s">
        <x:v>58</x:v>
      </x:c>
    </x:row>
    <x:row r="30" ht="16" customHeight="1">
      <x:c r="A30" s="29">
        <x:v>29</x:v>
      </x:c>
      <x:c r="B30" s="29" t="s">
        <x:v>601</x:v>
      </x:c>
      <x:c r="C30" s="29">
        <x:v>87.672725700000001</x:v>
      </x:c>
      <x:c r="D30" s="29">
        <x:v>27.358697800000002</x:v>
      </x:c>
      <x:c r="E30" s="29">
        <x:v>120590</x:v>
      </x:c>
      <x:c r="F30" s="29" t="str">
        <x:v>15_Population_GDP exact-name administrative/city value</x:v>
      </x:c>
      <x:c r="G30" s="29" t="s">
        <x:v>932</x:v>
      </x:c>
      <x:c r="H30" s="29">
        <x:v>607154975</x:v>
      </x:c>
      <x:c r="I30" s="29" t="s">
        <x:v>933</x:v>
      </x:c>
      <x:c r="J30" s="29" t="s">
        <x:v>937</x:v>
      </x:c>
      <x:c r="K30" s="29" t="s">
        <x:v>1012</x:v>
      </x:c>
      <x:c r="L30" s="20" t="s">
        <x:v>1013</x:v>
      </x:c>
      <x:c r="M30" s="29" t="s">
        <x:v>58</x:v>
      </x:c>
    </x:row>
    <x:row r="31" ht="16" customHeight="1">
      <x:c r="A31" s="29">
        <x:v>30</x:v>
      </x:c>
      <x:c r="B31" s="29" t="s">
        <x:v>586</x:v>
      </x:c>
      <x:c r="C31" s="29">
        <x:v>86.748549999999994</x:v>
      </x:c>
      <x:c r="D31" s="29">
        <x:v>26.539598000000002</x:v>
      </x:c>
      <x:c r="E31" s="29">
        <x:v>37738</x:v>
      </x:c>
      <x:c r="F31" s="29" t="str">
        <x:v>OpenStreetMap population tag</x:v>
      </x:c>
      <x:c r="G31" s="29" t="s">
        <x:v>693</x:v>
      </x:c>
      <x:c r="H31" s="29">
        <x:v>10321399</x:v>
      </x:c>
      <x:c r="I31" s="29" t="s">
        <x:v>957</x:v>
      </x:c>
      <x:c r="J31" s="29" t="s">
        <x:v>958</x:v>
      </x:c>
      <x:c r="K31" s="29" t="s">
        <x:v>1014</x:v>
      </x:c>
      <x:c r="L31" s="20" t="s">
        <x:v>1015</x:v>
      </x:c>
      <x:c r="M31" s="29" t="s">
        <x:v>58</x:v>
      </x:c>
    </x:row>
    <x:row r="32" ht="30" customHeight="1">
      <x:c r="A32" s="29">
        <x:v>31</x:v>
      </x:c>
      <x:c r="B32" s="29" t="s">
        <x:v>1016</x:v>
      </x:c>
      <x:c r="C32" s="29">
        <x:v>87.283997799999995</x:v>
      </x:c>
      <x:c r="D32" s="29">
        <x:v>26.812897400000001</x:v>
      </x:c>
      <x:c r="E32" s="29">
        <x:v>75000</x:v>
      </x:c>
      <x:c r="F32" s="29" t="str">
        <x:v>Planning reference value; update when measured city activity data are available.</x:v>
      </x:c>
      <x:c r="G32" s="29" t="s">
        <x:v>693</x:v>
      </x:c>
      <x:c r="H32" s="29">
        <x:v>12379917</x:v>
      </x:c>
      <x:c r="I32" s="29" t="s">
        <x:v>957</x:v>
      </x:c>
      <x:c r="J32" s="29" t="s">
        <x:v>958</x:v>
      </x:c>
      <x:c r="K32" s="29" t="s">
        <x:v>1017</x:v>
      </x:c>
      <x:c r="L32" s="20" t="s">
        <x:v>1018</x:v>
      </x:c>
      <x:c r="M32" s="29" t="s">
        <x:v>58</x:v>
      </x:c>
    </x:row>
    <x:row r="33" ht="16" customHeight="1">
      <x:c r="A33" s="29">
        <x:v>32</x:v>
      </x:c>
      <x:c r="B33" s="29" t="s">
        <x:v>742</x:v>
      </x:c>
      <x:c r="C33" s="29">
        <x:v>87.345103399999999</x:v>
      </x:c>
      <x:c r="D33" s="29">
        <x:v>26.982508299999999</x:v>
      </x:c>
      <x:c r="E33" s="29">
        <x:v>150599</x:v>
      </x:c>
      <x:c r="F33" s="29" t="str">
        <x:v>15_Population_GDP exact-name administrative/city value</x:v>
      </x:c>
      <x:c r="G33" s="29" t="s">
        <x:v>932</x:v>
      </x:c>
      <x:c r="H33" s="29">
        <x:v>3345770104</x:v>
      </x:c>
      <x:c r="I33" s="29" t="s">
        <x:v>933</x:v>
      </x:c>
      <x:c r="J33" s="29" t="s">
        <x:v>937</x:v>
      </x:c>
      <x:c r="K33" s="29" t="s">
        <x:v>1019</x:v>
      </x:c>
      <x:c r="L33" s="20" t="s">
        <x:v>1020</x:v>
      </x:c>
      <x:c r="M33" s="29" t="s">
        <x:v>58</x:v>
      </x:c>
    </x:row>
    <x:row r="34" ht="30" customHeight="1">
      <x:c r="A34" s="29">
        <x:v>33</x:v>
      </x:c>
      <x:c r="B34" s="29" t="s">
        <x:v>1021</x:v>
      </x:c>
      <x:c r="C34" s="29">
        <x:v>87.314201699999998</x:v>
      </x:c>
      <x:c r="D34" s="29">
        <x:v>27.0326834</x:v>
      </x:c>
      <x:c r="E34" s="29">
        <x:v>7000</x:v>
      </x:c>
      <x:c r="F34" s="29" t="str">
        <x:v>Planning reference value; update when measured city activity data are available.</x:v>
      </x:c>
      <x:c r="G34" s="29" t="s">
        <x:v>932</x:v>
      </x:c>
      <x:c r="H34" s="29">
        <x:v>2591119641</x:v>
      </x:c>
      <x:c r="I34" s="29" t="s">
        <x:v>933</x:v>
      </x:c>
      <x:c r="J34" s="29" t="s">
        <x:v>1022</x:v>
      </x:c>
      <x:c r="K34" s="29" t="s">
        <x:v>1023</x:v>
      </x:c>
      <x:c r="L34" s="20" t="s">
        <x:v>1024</x:v>
      </x:c>
      <x:c r="M34" s="29" t="s">
        <x:v>58</x:v>
      </x:c>
    </x:row>
    <x:row r="35" ht="30" customHeight="1">
      <x:c r="A35" s="29">
        <x:v>34</x:v>
      </x:c>
      <x:c r="B35" s="29" t="s">
        <x:v>1025</x:v>
      </x:c>
      <x:c r="C35" s="29">
        <x:v>85.576131599999997</x:v>
      </x:c>
      <x:c r="D35" s="29">
        <x:v>27.829302200000001</x:v>
      </x:c>
      <x:c r="E35" s="29">
        <x:v>20000</x:v>
      </x:c>
      <x:c r="F35" s="29" t="str">
        <x:v>Planning reference value; update when measured city activity data are available.</x:v>
      </x:c>
      <x:c r="G35" s="29" t="s">
        <x:v>932</x:v>
      </x:c>
      <x:c r="H35" s="29">
        <x:v>10266637632</x:v>
      </x:c>
      <x:c r="I35" s="29" t="s">
        <x:v>933</x:v>
      </x:c>
      <x:c r="J35" s="29" t="s">
        <x:v>937</x:v>
      </x:c>
      <x:c r="K35" s="29" t="s">
        <x:v>1026</x:v>
      </x:c>
      <x:c r="L35" s="20" t="s">
        <x:v>1027</x:v>
      </x:c>
      <x:c r="M35" s="29" t="s">
        <x:v>58</x:v>
      </x:c>
    </x:row>
    <x:row r="36" ht="32" customHeight="1">
      <x:c r="A36" s="29">
        <x:v>35</x:v>
      </x:c>
      <x:c r="B36" s="29" t="s">
        <x:v>660</x:v>
      </x:c>
      <x:c r="C36" s="29">
        <x:v>85.296058299999999</x:v>
      </x:c>
      <x:c r="D36" s="29">
        <x:v>28.1127948</x:v>
      </x:c>
      <x:c r="E36" s="29">
        <x:v>5000</x:v>
      </x:c>
      <x:c r="F36" s="29" t="str">
        <x:v>Planning reference value; update when measured city activity data are available.</x:v>
      </x:c>
      <x:c r="G36" s="29" t="s">
        <x:v>932</x:v>
      </x:c>
      <x:c r="H36" s="29">
        <x:v>10315965426</x:v>
      </x:c>
      <x:c r="I36" s="29" t="s">
        <x:v>933</x:v>
      </x:c>
      <x:c r="J36" s="29" t="s">
        <x:v>985</x:v>
      </x:c>
      <x:c r="K36" s="29" t="s">
        <x:v>1028</x:v>
      </x:c>
      <x:c r="L36" s="20" t="s">
        <x:v>1029</x:v>
      </x:c>
      <x:c r="M36" s="29" t="s">
        <x:v>58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8" customWidth="1"/>
    <x:col min="2" max="2" width="85" customWidth="1"/>
    <x:col min="3" max="3" width="34" customWidth="1"/>
    <x:col min="4" max="4" width="19" customWidth="1"/>
    <x:col min="5" max="5" width="13" customWidth="1"/>
    <x:col min="6" max="6" width="12" customWidth="1"/>
    <x:col min="7" max="7" width="64" customWidth="1"/>
  </x:cols>
  <x:sheetData>
    <x:row r="1" ht="27" customHeight="1">
      <x:c r="A1" s="35" t="s">
        <x:v>1030</x:v>
      </x:c>
      <x:c r="B1" s="36"/>
      <x:c r="C1" s="36"/>
    </x:row>
    <x:row r="2" ht="34" customHeight="1">
      <x:c r="A2" s="33" t="s">
        <x:v>1031</x:v>
      </x:c>
      <x:c r="B2" s="36"/>
      <x:c r="C2" s="36"/>
    </x:row>
    <x:row r="3">
      <x:c r="A3" s="5"/>
      <x:c r="B3" s="5"/>
      <x:c r="C3" s="5"/>
    </x:row>
    <x:row r="4" ht="16" customHeight="1">
      <x:c r="A4" s="30" t="s">
        <x:v>1032</x:v>
      </x:c>
      <x:c r="B4" s="30" t="s">
        <x:v>1033</x:v>
      </x:c>
      <x:c r="C4" s="30" t="s">
        <x:v>1034</x:v>
      </x:c>
    </x:row>
    <x:row r="5">
      <x:c r="A5" s="25" t="s">
        <x:v>1035</x:v>
      </x:c>
      <x:c r="B5" s="25" t="s">
        <x:v>1036</x:v>
      </x:c>
      <x:c r="C5" s="25" t="s">
        <x:v>1037</x:v>
      </x:c>
    </x:row>
    <x:row r="6">
      <x:c r="A6" s="25" t="s">
        <x:v>1038</x:v>
      </x:c>
      <x:c r="B6" s="25" t="s">
        <x:v>1039</x:v>
      </x:c>
      <x:c r="C6" s="25" t="s">
        <x:v>1040</x:v>
      </x:c>
    </x:row>
    <x:row r="7">
      <x:c r="A7" s="25" t="s">
        <x:v>1041</x:v>
      </x:c>
      <x:c r="B7" s="25" t="s">
        <x:v>1042</x:v>
      </x:c>
      <x:c r="C7" s="25" t="s">
        <x:v>1043</x:v>
      </x:c>
    </x:row>
    <x:row r="8">
      <x:c r="A8" s="25" t="s">
        <x:v>1044</x:v>
      </x:c>
      <x:c r="B8" s="25" t="s">
        <x:v>1045</x:v>
      </x:c>
      <x:c r="C8" s="25" t="s">
        <x:v>1046</x:v>
      </x:c>
    </x:row>
    <x:row r="9">
      <x:c r="A9" s="25" t="s">
        <x:v>1047</x:v>
      </x:c>
      <x:c r="B9" s="25" t="s">
        <x:v>1048</x:v>
      </x:c>
      <x:c r="C9" s="25" t="s">
        <x:v>1049</x:v>
      </x:c>
    </x:row>
    <x:row r="10">
      <x:c r="A10" s="25" t="s">
        <x:v>1050</x:v>
      </x:c>
      <x:c r="B10" s="25" t="s">
        <x:v>1051</x:v>
      </x:c>
      <x:c r="C10" s="25" t="s">
        <x:v>1052</x:v>
      </x:c>
    </x:row>
    <x:row r="11">
      <x:c r="A11" s="25" t="s">
        <x:v>1053</x:v>
      </x:c>
      <x:c r="B11" s="25" t="s">
        <x:v>1054</x:v>
      </x:c>
      <x:c r="C11" s="25" t="s">
        <x:v>1055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8" customWidth="1"/>
    <x:col min="2" max="2" width="34" customWidth="1"/>
    <x:col min="3" max="3" width="78" customWidth="1"/>
    <x:col min="4" max="4" width="92" customWidth="1"/>
  </x:cols>
  <x:sheetData>
    <x:row r="1" ht="16" customHeight="1">
      <x:c r="A1" s="5" t="s">
        <x:v>1056</x:v>
      </x:c>
      <x:c r="B1" s="5" t="s">
        <x:v>1057</x:v>
      </x:c>
      <x:c r="C1" s="5" t="s">
        <x:v>1058</x:v>
      </x:c>
      <x:c r="D1" s="5" t="s">
        <x:v>1059</x:v>
      </x:c>
    </x:row>
    <x:row r="2">
      <x:c r="A2" s="5" t="s">
        <x:v>6</x:v>
      </x:c>
      <x:c r="B2" s="5" t="s">
        <x:v>1060</x:v>
      </x:c>
      <x:c r="C2" s="5" t="s">
        <x:v>1061</x:v>
      </x:c>
      <x:c r="D2" s="5" t="s">
        <x:v>1062</x:v>
      </x:c>
    </x:row>
    <x:row r="3">
      <x:c r="A3" s="5" t="s">
        <x:v>1063</x:v>
      </x:c>
      <x:c r="B3" s="5" t="s">
        <x:v>1064</x:v>
      </x:c>
      <x:c r="C3" s="5" t="s">
        <x:v>1065</x:v>
      </x:c>
      <x:c r="D3" s="5" t="s">
        <x:v>1066</x:v>
      </x:c>
    </x:row>
    <x:row r="4">
      <x:c r="A4" s="5" t="s">
        <x:v>12</x:v>
      </x:c>
      <x:c r="B4" s="5" t="s">
        <x:v>1067</x:v>
      </x:c>
      <x:c r="C4" s="5" t="s">
        <x:v>1068</x:v>
      </x:c>
      <x:c r="D4" s="5" t="s">
        <x:v>1069</x:v>
      </x:c>
    </x:row>
    <x:row r="5">
      <x:c r="A5" s="5" t="s">
        <x:v>12</x:v>
      </x:c>
      <x:c r="B5" s="5" t="s">
        <x:v>1070</x:v>
      </x:c>
      <x:c r="C5" s="5" t="s">
        <x:v>1071</x:v>
      </x:c>
      <x:c r="D5" s="5" t="s">
        <x:v>1072</x:v>
      </x:c>
    </x:row>
    <x:row r="6">
      <x:c r="A6" s="5" t="s">
        <x:v>12</x:v>
      </x:c>
      <x:c r="B6" s="5" t="s">
        <x:v>1073</x:v>
      </x:c>
      <x:c r="C6" s="5" t="s">
        <x:v>1074</x:v>
      </x:c>
      <x:c r="D6" s="5" t="s">
        <x:v>1075</x:v>
      </x:c>
    </x:row>
    <x:row r="7">
      <x:c r="A7" s="5" t="str">
        <x:v>Speed</x:v>
      </x:c>
      <x:c r="B7" s="5" t="str">
        <x:v>mean_speed_kmh</x:v>
      </x:c>
      <x:c r="C7" s="5" t="str">
        <x:v>mean_speed_kmh = 0.40 * design_speed_kmh</x:v>
      </x:c>
      <x:c r="D7" s="5" t="str">
        <x:v>Mean operating speed is derived from Nepal.gpkg layer NH design speed using the 0.40 national planning factor.</x:v>
      </x:c>
    </x:row>
    <x:row r="8" ht="30" customHeight="1">
      <x:c r="A8" s="5" t="str">
        <x:v>Assignment</x:v>
      </x:c>
      <x:c r="B8" s="5" t="str">
        <x:v>Dijkstra travel-time shortest path</x:v>
      </x:c>
      <x:c r="C8" s="5" t="str">
        <x:v>min_path SUM(t_e), where t_e = L_e / V_avg,e</x:v>
      </x:c>
      <x:c r="D8" s="5" t="str">
        <x:v>Edge travel time is calculated before routing; the selected path is the minimum-total-time path, not necessarily the shortest-distance path.</x:v>
      </x:c>
    </x:row>
    <x:row r="9" ht="30" customHeight="1">
      <x:c r="A9" s="5"/>
      <x:c r="B9" s="5"/>
      <x:c r="C9" s="5"/>
      <x:c r="D9" s="5"/>
    </x:row>
    <x:row r="10">
      <x:c r="A10" s="5"/>
      <x:c r="B10" s="5"/>
      <x:c r="C10" s="5"/>
      <x:c r="D10" s="5"/>
    </x:row>
    <x:row r="11" ht="30" customHeight="1">
      <x:c r="A11" s="5" t="s">
        <x:v>14</x:v>
      </x:c>
      <x:c r="B11" s="5" t="s">
        <x:v>1076</x:v>
      </x:c>
      <x:c r="C11" s="5" t="s">
        <x:v>1077</x:v>
      </x:c>
      <x:c r="D11" s="5" t="s">
        <x:v>1078</x:v>
      </x:c>
    </x:row>
    <x:row r="12" ht="30" customHeight="1">
      <x:c r="A12" s="5" t="s">
        <x:v>14</x:v>
      </x:c>
      <x:c r="B12" s="5" t="s">
        <x:v>1079</x:v>
      </x:c>
      <x:c r="C12" s="5" t="s">
        <x:v>1080</x:v>
      </x:c>
      <x:c r="D12" s="5" t="str">
        <x:v>Healthcare access loss after road-link removal; proxy node is logged when required.</x:v>
      </x:c>
    </x:row>
    <x:row r="13" ht="30" customHeight="1">
      <x:c r="A13" s="5" t="s">
        <x:v>16</x:v>
      </x:c>
      <x:c r="B13" s="5" t="s">
        <x:v>1081</x:v>
      </x:c>
      <x:c r="C13" s="5" t="s">
        <x:v>1082</x:v>
      </x:c>
      <x:c r="D13" s="5" t="s">
        <x:v>1083</x:v>
      </x:c>
    </x:row>
    <x:row r="14">
      <x:c r="A14" s="5" t="s">
        <x:v>16</x:v>
      </x:c>
      <x:c r="B14" s="5" t="s">
        <x:v>1084</x:v>
      </x:c>
      <x:c r="C14" s="5" t="s">
        <x:v>1085</x:v>
      </x:c>
      <x:c r="D14" s="5" t="s">
        <x:v>1086</x:v>
      </x:c>
    </x:row>
    <x:row r="15">
      <x:c r="A15" s="5" t="s">
        <x:v>1087</x:v>
      </x:c>
      <x:c r="B15" s="5" t="s">
        <x:v>1088</x:v>
      </x:c>
      <x:c r="C15" s="5" t="s">
        <x:v>1089</x:v>
      </x:c>
      <x:c r="D15" s="5" t="s">
        <x:v>1090</x:v>
      </x:c>
    </x:row>
    <x:row r="16">
      <x:c r="A16" s="5" t="s">
        <x:v>1087</x:v>
      </x:c>
      <x:c r="B16" s="5" t="s">
        <x:v>1091</x:v>
      </x:c>
      <x:c r="C16" s="5" t="s">
        <x:v>1092</x:v>
      </x:c>
      <x:c r="D16" s="5" t="s">
        <x:v>1093</x:v>
      </x:c>
    </x:row>
    <x:row r="18" ht="30" customHeight="1"/>
  </x:sheetData>
  <x:pageMargins left="0.7" right="0.7" top="0.75" bottom="0.75" header="0.3" footer="0.3"/>
</x:worksheet>
</file>